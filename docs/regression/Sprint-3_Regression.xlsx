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85" yWindow="-16320" windowWidth="29040" windowHeight="15720" tabRatio="600" firstSheet="0" activeTab="0" autoFilterDateGrouping="1"/>
  </bookViews>
  <sheets>
    <sheet name="Summary" sheetId="1" state="visible" r:id="rId1"/>
    <sheet name="Testers" sheetId="2" state="visible" r:id="rId2"/>
    <sheet name="Retested cases" sheetId="3" state="visible" r:id="rId3"/>
    <sheet name="Rewritten cases" sheetId="4" state="visible" r:id="rId4"/>
    <sheet name="Out-of-date cases" sheetId="5" state="visible" r:id="rId5"/>
    <sheet name="Automated checks" sheetId="6" state="visible" r:id="rId6"/>
    <sheet name="Scope" sheetId="7" state="visible" r:id="rId7"/>
    <sheet name="Smoke run" sheetId="8" state="visible" r:id="rId8"/>
    <sheet name="Follow-ups" sheetId="9" state="visible" r:id="rId9"/>
  </sheets>
  <definedNames>
    <definedName name="_xlnm._FilterDatabase" localSheetId="2" hidden="1">'Retested cases'!$A$4:$M$168</definedName>
    <definedName name="_xlnm._FilterDatabase" localSheetId="4" hidden="1">'Out-of-date cases'!$A$4:$J$87</definedName>
  </definedNames>
  <calcPr calcId="19102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1F3864"/>
      <sz val="14"/>
    </font>
    <font>
      <name val="Arial"/>
      <i val="1"/>
      <color rgb="FF595959"/>
      <sz val="10"/>
    </font>
    <font>
      <name val="Arial"/>
      <b val="1"/>
      <color rgb="FFFFFFFF"/>
      <sz val="10"/>
    </font>
    <font>
      <name val="Arial"/>
      <sz val="10"/>
    </font>
    <font>
      <name val="Arial"/>
      <b val="1"/>
      <sz val="10"/>
    </font>
  </fonts>
  <fills count="4">
    <fill>
      <patternFill/>
    </fill>
    <fill>
      <patternFill patternType="gray125"/>
    </fill>
    <fill>
      <patternFill patternType="solid">
        <fgColor rgb="FF1F3864"/>
      </patternFill>
    </fill>
    <fill>
      <patternFill patternType="solid">
        <fgColor rgb="FFFFF2CC"/>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5" fillId="0" borderId="1" pivotButton="0" quotePrefix="0" xfId="0"/>
    <xf numFmtId="0" fontId="4" fillId="0" borderId="1" applyAlignment="1" pivotButton="0" quotePrefix="0" xfId="0">
      <alignment vertical="top" wrapText="1"/>
    </xf>
    <xf numFmtId="164" fontId="4" fillId="3" borderId="1" applyAlignment="1" pivotButton="0" quotePrefix="0" xfId="0">
      <alignment vertical="top" wrapText="1"/>
    </xf>
    <xf numFmtId="0" fontId="4" fillId="3" borderId="1" applyAlignment="1" pivotButton="0" quotePrefix="0" xfId="0">
      <alignment vertical="top" wrapText="1"/>
    </xf>
    <xf numFmtId="0" fontId="3" fillId="2" borderId="1" applyAlignment="1" pivotButton="0" quotePrefix="0" xfId="0">
      <alignment vertical="center"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4" fillId="0" borderId="0" pivotButton="0" quotePrefix="0" xfId="0"/>
    <xf numFmtId="0" fontId="3" fillId="2" borderId="1" applyAlignment="1" pivotButton="0" quotePrefix="0" xfId="0">
      <alignment vertical="center" wrapText="1"/>
    </xf>
    <xf numFmtId="0" fontId="0" fillId="0" borderId="2" pivotButton="0" quotePrefix="0" xfId="0"/>
    <xf numFmtId="0" fontId="0" fillId="0" borderId="3" pivotButton="0" quotePrefix="0" xfId="0"/>
    <xf numFmtId="0" fontId="4" fillId="0" borderId="0" applyAlignment="1" pivotButton="0" quotePrefix="0" xfId="0">
      <alignment vertical="top" wrapText="1"/>
    </xf>
    <xf numFmtId="0" fontId="0" fillId="0" borderId="0" pivotButton="0" quotePrefix="0" xfId="0"/>
  </cellXfs>
  <cellStyles count="1">
    <cellStyle name="Normal" xfId="0" builtinId="0"/>
  </cellStyles>
  <dxfs count="12">
    <dxf>
      <fill>
        <patternFill patternType="solid">
          <bgColor rgb="FFFFC7CE"/>
        </patternFill>
      </fill>
    </dxf>
    <dxf>
      <fill>
        <patternFill patternType="solid">
          <bgColor rgb="FFC6EFCE"/>
        </patternFill>
      </fill>
    </dxf>
    <dxf>
      <fill>
        <patternFill patternType="solid">
          <bgColor rgb="FFFFC7CE"/>
        </patternFill>
      </fill>
    </dxf>
    <dxf>
      <fill>
        <patternFill patternType="solid">
          <bgColor rgb="FFC6EFCE"/>
        </patternFill>
      </fill>
    </dxf>
    <dxf>
      <fill>
        <patternFill patternType="solid">
          <bgColor rgb="FFD9D9D9"/>
        </patternFill>
      </fill>
    </dxf>
    <dxf>
      <fill>
        <patternFill patternType="solid">
          <bgColor rgb="FFDDEBF7"/>
        </patternFill>
      </fill>
    </dxf>
    <dxf>
      <fill>
        <patternFill patternType="solid">
          <bgColor rgb="FFFFC7CE"/>
        </patternFill>
      </fill>
    </dxf>
    <dxf>
      <fill>
        <patternFill patternType="solid">
          <b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4"/>
  <sheetViews>
    <sheetView showGridLines="0" tabSelected="1" workbookViewId="0">
      <selection activeCell="A1" sqref="A1"/>
    </sheetView>
  </sheetViews>
  <sheetFormatPr baseColWidth="8" defaultRowHeight="14.4"/>
  <cols>
    <col width="30" customWidth="1" style="18" min="1" max="1"/>
    <col width="26" customWidth="1" style="18" min="2" max="2"/>
    <col width="16" customWidth="1" style="18" min="3" max="4"/>
    <col width="60" customWidth="1" style="18" min="5" max="5"/>
  </cols>
  <sheetData>
    <row r="1" ht="17.4" customHeight="1" s="18">
      <c r="A1" s="1" t="inlineStr">
        <is>
          <t>Sprint 3 regression test</t>
        </is>
      </c>
    </row>
    <row r="2">
      <c r="A2" s="2" t="inlineStr">
        <is>
          <t>Process: docs/REGRESSION_TESTING.md. Yellow cells are for you to fill in; everything else is pre-filled or calculated.</t>
        </is>
      </c>
    </row>
    <row r="4">
      <c r="A4" s="3" t="inlineStr">
        <is>
          <t>Sprint</t>
        </is>
      </c>
      <c r="B4" s="4" t="n">
        <v>3</v>
      </c>
    </row>
    <row r="5">
      <c r="A5" s="3" t="inlineStr">
        <is>
          <t>Date tested</t>
        </is>
      </c>
      <c r="B5" s="5" t="n"/>
    </row>
    <row r="6">
      <c r="A6" s="3" t="inlineStr">
        <is>
          <t>Tested by</t>
        </is>
      </c>
      <c r="B6" s="6" t="n"/>
    </row>
    <row r="7">
      <c r="A7" s="3" t="inlineStr">
        <is>
          <t>Commit tested (main)</t>
        </is>
      </c>
      <c r="B7" s="6" t="n"/>
      <c r="C7" s="2" t="inlineStr">
        <is>
          <t>git rev-parse --short HEAD</t>
        </is>
      </c>
    </row>
    <row r="8" ht="39.6" customHeight="1" s="18">
      <c r="A8" s="3" t="inlineStr">
        <is>
          <t>Baseline</t>
        </is>
      </c>
      <c r="B8" s="4" t="inlineStr">
        <is>
          <t>a5730c5 (last commit on main before Sprint 3 started, 4 Oct 2026)</t>
        </is>
      </c>
    </row>
    <row r="10" ht="30" customHeight="1" s="18">
      <c r="A10" s="14" t="inlineStr">
        <is>
          <t>Results</t>
        </is>
      </c>
      <c r="B10" s="14" t="inlineStr">
        <is>
          <t>Retested cases</t>
        </is>
      </c>
      <c r="C10" s="14" t="inlineStr">
        <is>
          <t>Smoke run</t>
        </is>
      </c>
      <c r="D10" s="14" t="inlineStr">
        <is>
          <t>Automated checks</t>
        </is>
      </c>
    </row>
    <row r="11">
      <c r="A11" s="8" t="inlineStr">
        <is>
          <t>Total</t>
        </is>
      </c>
      <c r="B11" s="4">
        <f>COUNTA('Retested cases'!$A$5:$A$168)</f>
        <v/>
      </c>
      <c r="C11" s="4">
        <f>COUNTA('Smoke run'!$A$5:$A$24)</f>
        <v/>
      </c>
      <c r="D11" s="4">
        <f>COUNTA('Automated checks'!$A$5:$A$11)</f>
        <v/>
      </c>
    </row>
    <row r="12">
      <c r="A12" s="8" t="inlineStr">
        <is>
          <t>Pass</t>
        </is>
      </c>
      <c r="B12" s="4">
        <f>COUNTIF('Retested cases'!$J$5:$J$168,"Pass")</f>
        <v/>
      </c>
      <c r="C12" s="4">
        <f>COUNTIF('Smoke run'!$F$5:$F$24,"Pass")</f>
        <v/>
      </c>
      <c r="D12" s="4">
        <f>COUNTIF('Automated checks'!$C$5:$C$11,"Pass")</f>
        <v/>
      </c>
    </row>
    <row r="13">
      <c r="A13" s="8" t="inlineStr">
        <is>
          <t>Fail</t>
        </is>
      </c>
      <c r="B13" s="4">
        <f>COUNTIF('Retested cases'!$J$5:$J$168,"Fail")</f>
        <v/>
      </c>
      <c r="C13" s="4">
        <f>COUNTIF('Smoke run'!$F$5:$F$24,"Fail")</f>
        <v/>
      </c>
      <c r="D13" s="4">
        <f>COUNTIF('Automated checks'!$C$5:$C$11,"Fail")</f>
        <v/>
      </c>
    </row>
    <row r="14">
      <c r="A14" s="8" t="inlineStr">
        <is>
          <t>Changed by design</t>
        </is>
      </c>
      <c r="B14" s="4">
        <f>COUNTIF('Retested cases'!$J$5:$J$168,"Changed by design")</f>
        <v/>
      </c>
      <c r="C14" s="4" t="n"/>
      <c r="D14" s="4" t="n"/>
    </row>
    <row r="15">
      <c r="A15" s="8" t="inlineStr">
        <is>
          <t>Blocked</t>
        </is>
      </c>
      <c r="B15" s="4">
        <f>COUNTIF('Retested cases'!$J$5:$J$168,"Blocked")</f>
        <v/>
      </c>
      <c r="C15" s="4" t="n"/>
      <c r="D15" s="4" t="n"/>
    </row>
    <row r="16">
      <c r="A16" s="8" t="inlineStr">
        <is>
          <t>Not run yet</t>
        </is>
      </c>
      <c r="B16" s="4">
        <f>B11-SUM(B12:B15)</f>
        <v/>
      </c>
      <c r="C16" s="4">
        <f>C11-SUM(C12:C13)</f>
        <v/>
      </c>
      <c r="D16" s="4">
        <f>D11-SUM(D12:D13)</f>
        <v/>
      </c>
    </row>
    <row r="19" ht="30" customHeight="1" s="18">
      <c r="A19" s="14" t="inlineStr">
        <is>
          <t>Result</t>
        </is>
      </c>
      <c r="B19" s="14" t="inlineStr">
        <is>
          <t>Meaning</t>
        </is>
      </c>
      <c r="C19" s="15" t="n"/>
      <c r="D19" s="16" t="n"/>
      <c r="E19" s="14" t="inlineStr">
        <is>
          <t>What to do</t>
        </is>
      </c>
    </row>
    <row r="20" ht="30" customHeight="1" s="18">
      <c r="A20" s="9" t="inlineStr">
        <is>
          <t>Pass</t>
        </is>
      </c>
      <c r="B20" s="17" t="inlineStr">
        <is>
          <t>The app matches the expected result.</t>
        </is>
      </c>
      <c r="E20" s="17" t="inlineStr">
        <is>
          <t>Nothing.</t>
        </is>
      </c>
    </row>
    <row r="21" ht="30" customHeight="1" s="18">
      <c r="A21" s="9" t="inlineStr">
        <is>
          <t>Fail</t>
        </is>
      </c>
      <c r="B21" s="17" t="inlineStr">
        <is>
          <t>The app is wrong.</t>
        </is>
      </c>
      <c r="E21" s="17" t="inlineStr">
        <is>
          <t>Raise a Jira bug linked to the story. Add a row to Follow-ups.</t>
        </is>
      </c>
    </row>
    <row r="22" ht="30" customHeight="1" s="18">
      <c r="A22" s="9" t="inlineStr">
        <is>
          <t>Changed by design</t>
        </is>
      </c>
      <c r="B22" s="17" t="inlineStr">
        <is>
          <t>The app differs because a later story changed the behaviour on purpose.</t>
        </is>
      </c>
      <c r="E22" s="17" t="inlineStr">
        <is>
          <t>Name that story in the notes. Add a row to Follow-ups so the test case gets updated.</t>
        </is>
      </c>
    </row>
    <row r="23" ht="30" customHeight="1" s="18">
      <c r="A23" s="9" t="inlineStr">
        <is>
          <t>Blocked</t>
        </is>
      </c>
      <c r="B23" s="17" t="inlineStr">
        <is>
          <t>The case could not be run, for example because its test data no longer exists.</t>
        </is>
      </c>
      <c r="E23" s="17" t="inlineStr">
        <is>
          <t>Say why in the notes. Add a row to Follow-ups.</t>
        </is>
      </c>
    </row>
    <row r="26">
      <c r="A26" s="11" t="inlineStr">
        <is>
          <t>Example of filled-in rows on 'Retested cases' (columns Result, Tested by, Date tested, Notes)</t>
        </is>
      </c>
    </row>
    <row r="27">
      <c r="A27" s="12" t="inlineStr">
        <is>
          <t>SPM-81-TC01</t>
        </is>
      </c>
      <c r="B27" s="12" t="inlineStr">
        <is>
          <t>Pass</t>
        </is>
      </c>
      <c r="C27" s="12" t="inlineStr">
        <is>
          <t>Janelle</t>
        </is>
      </c>
      <c r="D27" s="12" t="inlineStr">
        <is>
          <t>2026-10-17</t>
        </is>
      </c>
      <c r="E27" s="12" t="n"/>
    </row>
    <row r="28">
      <c r="A28" s="12" t="inlineStr">
        <is>
          <t>SPM-33-TC05</t>
        </is>
      </c>
      <c r="B28" s="12" t="inlineStr">
        <is>
          <t>Changed by design</t>
        </is>
      </c>
      <c r="C28" s="12" t="inlineStr">
        <is>
          <t>Kristen</t>
        </is>
      </c>
      <c r="D28" s="12" t="inlineStr">
        <is>
          <t>2026-10-17</t>
        </is>
      </c>
      <c r="E28" s="12" t="inlineStr">
        <is>
          <t>SPM-68 added the flagged state to the readiness list. Case needs updating.</t>
        </is>
      </c>
    </row>
    <row r="29">
      <c r="A29" s="12" t="inlineStr">
        <is>
          <t>SPM-64-TC04</t>
        </is>
      </c>
      <c r="B29" s="12" t="inlineStr">
        <is>
          <t>Fail</t>
        </is>
      </c>
      <c r="C29" s="12" t="inlineStr">
        <is>
          <t>Kristen</t>
        </is>
      </c>
      <c r="D29" s="12" t="inlineStr">
        <is>
          <t>2026-10-17</t>
        </is>
      </c>
      <c r="E29" s="12" t="inlineStr">
        <is>
          <t>Step 3: capacity above the venue layout was accepted. Bug &lt;Jira key&gt;.</t>
        </is>
      </c>
    </row>
    <row r="31">
      <c r="A31" s="11" t="inlineStr">
        <is>
          <t>Rules</t>
        </is>
      </c>
    </row>
    <row r="32">
      <c r="A32" s="13" t="inlineStr">
        <is>
          <t>Do not type results into the story workbooks in docs/test-cases/. They hold each story's original test run.</t>
        </is>
      </c>
    </row>
    <row r="33">
      <c r="A33" s="13" t="inlineStr">
        <is>
          <t>Never run npx prisma db seed. Use the script in the Test data column, before the story and after any case that changes data.</t>
        </is>
      </c>
    </row>
    <row r="34">
      <c r="A34" s="13" t="inlineStr">
        <is>
          <t>If a fix merges after a Fail, rerun the case and add a new row for it. Keep the Fail row.</t>
        </is>
      </c>
    </row>
  </sheetData>
  <mergeCells count="5">
    <mergeCell ref="B19:D19"/>
    <mergeCell ref="B23:D23"/>
    <mergeCell ref="B22:D22"/>
    <mergeCell ref="B21:D21"/>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3" customWidth="1" style="18" min="1" max="1"/>
    <col width="44" customWidth="1" style="18" min="2" max="2"/>
    <col width="44" customWidth="1" style="18" min="3" max="3"/>
    <col width="8" customWidth="1" style="18" min="4" max="4"/>
    <col width="8" customWidth="1" style="18" min="5" max="5"/>
    <col width="70" customWidth="1" style="18" min="6" max="6"/>
  </cols>
  <sheetData>
    <row r="1">
      <c r="A1" s="1" t="inlineStr">
        <is>
          <t>Sprint 3 regression: who tests what</t>
        </is>
      </c>
    </row>
    <row r="2">
      <c r="A2" s="2" t="inlineStr">
        <is>
          <t>Each tester has one area, and nobody retests their own Sprint 3 stories. Work through your rows on 'Retested cases' (filter column I). Run a story's fixture script before its cases.</t>
        </is>
      </c>
    </row>
    <row r="4">
      <c r="A4" s="14" t="inlineStr">
        <is>
          <t>Tester</t>
        </is>
      </c>
      <c r="B4" s="14" t="inlineStr">
        <is>
          <t>Area</t>
        </is>
      </c>
      <c r="C4" s="14" t="inlineStr">
        <is>
          <t>Stories</t>
        </is>
      </c>
      <c r="D4" s="14" t="inlineStr">
        <is>
          <t>Cases</t>
        </is>
      </c>
      <c r="E4" s="14" t="inlineStr">
        <is>
          <t>Done</t>
        </is>
      </c>
      <c r="F4" s="14" t="inlineStr">
        <is>
          <t>Fixture scripts to run</t>
        </is>
      </c>
    </row>
    <row r="5">
      <c r="A5" s="4" t="inlineStr">
        <is>
          <t>Kayalvizhi</t>
        </is>
      </c>
      <c r="B5" s="4" t="inlineStr">
        <is>
          <t>Accounts, event requests and event information</t>
        </is>
      </c>
      <c r="C5" s="4" t="inlineStr">
        <is>
          <t>SPM-21, SPM-22, SPM-23, SPM-24, SPM-25, SPM-27, SPM-31, SPM-62, SPM-85</t>
        </is>
      </c>
      <c r="D5" s="4">
        <f>COUNTIF('Retested cases'!$I$5:$I$168,A5)</f>
        <v/>
      </c>
      <c r="E5" s="4">
        <f>COUNTIFS('Retested cases'!$I$5:$I$168,A5,'Retested cases'!$J$5:$J$168,"&lt;&gt;")</f>
        <v/>
      </c>
      <c r="F5" s="4" t="inlineStr">
        <is>
          <t>fixtures:spm27, fixtures:spm62, fixtures:spm85</t>
        </is>
      </c>
    </row>
    <row r="6">
      <c r="A6" s="4" t="inlineStr">
        <is>
          <t>Jordan</t>
        </is>
      </c>
      <c r="B6" s="4" t="inlineStr">
        <is>
          <t>Review, planning, readiness and registration</t>
        </is>
      </c>
      <c r="C6" s="4" t="inlineStr">
        <is>
          <t>SPM-28, SPM-30, SPM-54, SPM-33, SPM-34, SPM-64, SPM-51</t>
        </is>
      </c>
      <c r="D6" s="4">
        <f>COUNTIF('Retested cases'!$I$5:$I$168,A6)</f>
        <v/>
      </c>
      <c r="E6" s="4">
        <f>COUNTIFS('Retested cases'!$I$5:$I$168,A6,'Retested cases'!$J$5:$J$168,"&lt;&gt;")</f>
        <v/>
      </c>
      <c r="F6" s="4" t="inlineStr">
        <is>
          <t>fixtures:spm28, fixtures:spm30, fixtures:spm54, fixtures:spm33, fixtures:spm34, fixtures:spm64, fixtures:spm51</t>
        </is>
      </c>
    </row>
    <row r="7">
      <c r="A7" s="4" t="inlineStr">
        <is>
          <t>Janelle</t>
        </is>
      </c>
      <c r="B7" s="4" t="inlineStr">
        <is>
          <t>Venue catalogue, availability and notifications</t>
        </is>
      </c>
      <c r="C7" s="4" t="inlineStr">
        <is>
          <t>SPM-39, SPM-40, SPM-41, SPM-45, SPM-46, SPM-93, SPM-90, SPM-71</t>
        </is>
      </c>
      <c r="D7" s="4">
        <f>COUNTIF('Retested cases'!$I$5:$I$168,A7)</f>
        <v/>
      </c>
      <c r="E7" s="4">
        <f>COUNTIFS('Retested cases'!$I$5:$I$168,A7,'Retested cases'!$J$5:$J$168,"&lt;&gt;")</f>
        <v/>
      </c>
      <c r="F7" s="4" t="inlineStr">
        <is>
          <t>fixtures:spm45, fixtures:spm93, fixtures:spm90, fixtures:spm71</t>
        </is>
      </c>
    </row>
    <row r="8">
      <c r="A8" s="4" t="inlineStr">
        <is>
          <t>Sammi</t>
        </is>
      </c>
      <c r="B8" s="4" t="inlineStr">
        <is>
          <t>Venue booking requests</t>
        </is>
      </c>
      <c r="C8" s="4" t="inlineStr">
        <is>
          <t>SPM-42, SPM-43, SPM-44, SPM-67, SPM-81, SPM-82, SPM-68</t>
        </is>
      </c>
      <c r="D8" s="4">
        <f>COUNTIF('Retested cases'!$I$5:$I$168,A8)</f>
        <v/>
      </c>
      <c r="E8" s="4">
        <f>COUNTIFS('Retested cases'!$I$5:$I$168,A8,'Retested cases'!$J$5:$J$168,"&lt;&gt;")</f>
        <v/>
      </c>
      <c r="F8" s="4" t="inlineStr">
        <is>
          <t>fixtures:spm42, fixtures:spm43, fixtures:spm44, fixtures:spm67, fixtures:spm81, fixtures:spm82, fixtures:spm68</t>
        </is>
      </c>
    </row>
    <row r="9">
      <c r="A9" s="4" t="inlineStr">
        <is>
          <t>Kristen</t>
        </is>
      </c>
      <c r="B9" s="4" t="inlineStr">
        <is>
          <t>Equipment and the safety check</t>
        </is>
      </c>
      <c r="C9" s="4" t="inlineStr">
        <is>
          <t>SPM-47, SPM-48, SPM-49, SPM-50, SPM-55, SPM-86, SPM-87, SPM-88</t>
        </is>
      </c>
      <c r="D9" s="4">
        <f>COUNTIF('Retested cases'!$I$5:$I$168,A9)</f>
        <v/>
      </c>
      <c r="E9" s="4">
        <f>COUNTIFS('Retested cases'!$I$5:$I$168,A9,'Retested cases'!$J$5:$J$168,"&lt;&gt;")</f>
        <v/>
      </c>
      <c r="F9" s="4" t="inlineStr">
        <is>
          <t>fixtures:spm50, fixtures:spm55, fixtures:spm86, fixtures:spm87, fixtures:spm88</t>
        </is>
      </c>
    </row>
    <row r="11">
      <c r="A11" s="14" t="inlineStr">
        <is>
          <t>Smoke run</t>
        </is>
      </c>
      <c r="B11" s="4" t="inlineStr">
        <is>
          <t>Do it together on a call, one person driving, before splitting up. If it fails, stop and fix before the retests.</t>
        </is>
      </c>
    </row>
    <row r="12">
      <c r="A12" s="14" t="inlineStr">
        <is>
          <t>Automated checks</t>
        </is>
      </c>
      <c r="B12" s="4" t="inlineStr">
        <is>
          <t>One person runs them on main once SPM-52 and SPM-65 have merged, and posts the result in the group chat.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8"/>
  <sheetViews>
    <sheetView showGridLines="0" workbookViewId="0">
      <pane xSplit="2" ySplit="4" topLeftCell="C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4.4"/>
  <cols>
    <col width="14" customWidth="1" style="18" min="1" max="1"/>
    <col width="9" customWidth="1" style="18" min="2" max="2"/>
    <col width="52" customWidth="1" style="18" min="3" max="3"/>
    <col width="11" customWidth="1" style="18" min="4" max="4"/>
    <col width="10" customWidth="1" style="18" min="5" max="5"/>
    <col width="26" customWidth="1" style="18" min="6" max="6"/>
    <col width="15" customWidth="1" style="18" min="7" max="7"/>
    <col width="24" customWidth="1" style="18" min="8" max="8"/>
    <col width="13" customWidth="1" style="18" min="9" max="9"/>
    <col width="18" customWidth="1" style="18" min="10" max="10"/>
    <col width="12" customWidth="1" style="18" min="11" max="11"/>
    <col width="13" customWidth="1" style="18" min="12" max="12"/>
    <col width="50" customWidth="1" style="18" min="13" max="13"/>
  </cols>
  <sheetData>
    <row r="1" ht="17.4" customHeight="1" s="18">
      <c r="A1" s="1" t="inlineStr">
        <is>
          <t>Sprint 3 regression: retested cases</t>
        </is>
      </c>
    </row>
    <row r="2">
      <c r="A2" s="2" t="inlineStr">
        <is>
          <t>Grouped by tester. Read the steps in the story workbook (docs/test-cases/), or on the 'Rewritten cases' sheet for an ID ending in -R, and record the result here. Swap testers in column I if you need to. Fill in the yellow cells.</t>
        </is>
      </c>
    </row>
    <row r="4" ht="30" customHeight="1" s="18">
      <c r="A4" s="14" t="inlineStr">
        <is>
          <t>Test case ID</t>
        </is>
      </c>
      <c r="B4" s="14" t="inlineStr">
        <is>
          <t>Story</t>
        </is>
      </c>
      <c r="C4" s="14" t="inlineStr">
        <is>
          <t>Title</t>
        </is>
      </c>
      <c r="D4" s="14" t="inlineStr">
        <is>
          <t>Linked AC</t>
        </is>
      </c>
      <c r="E4" s="14" t="inlineStr">
        <is>
          <t>Type</t>
        </is>
      </c>
      <c r="F4" s="14" t="inlineStr">
        <is>
          <t>Workbook</t>
        </is>
      </c>
      <c r="G4" s="14" t="inlineStr">
        <is>
          <t>Sheet</t>
        </is>
      </c>
      <c r="H4" s="14" t="inlineStr">
        <is>
          <t>Test data</t>
        </is>
      </c>
      <c r="I4" s="14" t="inlineStr">
        <is>
          <t>Assigned to</t>
        </is>
      </c>
      <c r="J4" s="14" t="inlineStr">
        <is>
          <t>Result</t>
        </is>
      </c>
      <c r="K4" s="14" t="inlineStr">
        <is>
          <t>Tested by</t>
        </is>
      </c>
      <c r="L4" s="14" t="inlineStr">
        <is>
          <t>Date tested</t>
        </is>
      </c>
      <c r="M4" s="14" t="inlineStr">
        <is>
          <t>Notes / bug key</t>
        </is>
      </c>
    </row>
    <row r="5">
      <c r="A5" s="4" t="inlineStr">
        <is>
          <t>SPM-21-TC01</t>
        </is>
      </c>
      <c r="B5" s="4" t="inlineStr">
        <is>
          <t>SPM-21</t>
        </is>
      </c>
      <c r="C5" s="4" t="inlineStr">
        <is>
          <t>Valid credentials sign the user in and open the dashboard</t>
        </is>
      </c>
      <c r="D5" s="4" t="inlineStr">
        <is>
          <t>AC1</t>
        </is>
      </c>
      <c r="E5" s="4" t="inlineStr">
        <is>
          <t>Positive</t>
        </is>
      </c>
      <c r="F5" s="4" t="inlineStr">
        <is>
          <t>SPM-21_Test_Cases.xlsx</t>
        </is>
      </c>
      <c r="G5" s="4" t="inlineStr">
        <is>
          <t>TC01</t>
        </is>
      </c>
      <c r="H5" s="4" t="inlineStr">
        <is>
          <t>Base seed data</t>
        </is>
      </c>
      <c r="I5" s="6" t="inlineStr">
        <is>
          <t>Kayalvizhi</t>
        </is>
      </c>
      <c r="J5" s="6" t="n"/>
      <c r="K5" s="5" t="n"/>
      <c r="L5" s="6" t="n"/>
      <c r="M5" s="6" t="n"/>
    </row>
    <row r="6">
      <c r="A6" s="4" t="inlineStr">
        <is>
          <t>SPM-21-TC12</t>
        </is>
      </c>
      <c r="B6" s="4" t="inlineStr">
        <is>
          <t>SPM-21</t>
        </is>
      </c>
      <c r="C6" s="4" t="inlineStr">
        <is>
          <t>The signed-in user's role is named on the dashboard</t>
        </is>
      </c>
      <c r="D6" s="4" t="inlineStr">
        <is>
          <t>AC3</t>
        </is>
      </c>
      <c r="E6" s="4" t="inlineStr">
        <is>
          <t>Positive</t>
        </is>
      </c>
      <c r="F6" s="4" t="inlineStr">
        <is>
          <t>SPM-21_Test_Cases.xlsx</t>
        </is>
      </c>
      <c r="G6" s="4" t="inlineStr">
        <is>
          <t>TC12</t>
        </is>
      </c>
      <c r="H6" s="4" t="inlineStr">
        <is>
          <t>Base seed data</t>
        </is>
      </c>
      <c r="I6" s="6" t="inlineStr">
        <is>
          <t>Kayalvizhi</t>
        </is>
      </c>
      <c r="J6" s="6" t="n"/>
      <c r="K6" s="5" t="n"/>
      <c r="L6" s="6" t="n"/>
      <c r="M6" s="6" t="n"/>
    </row>
    <row r="7">
      <c r="A7" s="4" t="inlineStr">
        <is>
          <t>SPM-22-TC01</t>
        </is>
      </c>
      <c r="B7" s="4" t="inlineStr">
        <is>
          <t>SPM-22</t>
        </is>
      </c>
      <c r="C7" s="4" t="inlineStr">
        <is>
          <t>An Attendee's sidebar offers only the Attendee screens</t>
        </is>
      </c>
      <c r="D7" s="4" t="inlineStr">
        <is>
          <t>AC1</t>
        </is>
      </c>
      <c r="E7" s="4" t="inlineStr">
        <is>
          <t>Positive</t>
        </is>
      </c>
      <c r="F7" s="4" t="inlineStr">
        <is>
          <t>SPM-22_Test_Cases.xlsx</t>
        </is>
      </c>
      <c r="G7" s="4" t="inlineStr">
        <is>
          <t>TC01</t>
        </is>
      </c>
      <c r="H7" s="4" t="inlineStr">
        <is>
          <t>Base seed data</t>
        </is>
      </c>
      <c r="I7" s="6" t="inlineStr">
        <is>
          <t>Kayalvizhi</t>
        </is>
      </c>
      <c r="J7" s="6" t="n"/>
      <c r="K7" s="5" t="n"/>
      <c r="L7" s="6" t="n"/>
      <c r="M7" s="6" t="n"/>
    </row>
    <row r="8">
      <c r="A8" s="4" t="inlineStr">
        <is>
          <t>SPM-22-TC04</t>
        </is>
      </c>
      <c r="B8" s="4" t="inlineStr">
        <is>
          <t>SPM-22</t>
        </is>
      </c>
      <c r="C8" s="4" t="inlineStr">
        <is>
          <t>An Attendee opening an event sees only the Overview tab</t>
        </is>
      </c>
      <c r="D8" s="4" t="inlineStr">
        <is>
          <t>AC2</t>
        </is>
      </c>
      <c r="E8" s="4" t="inlineStr">
        <is>
          <t>Positive</t>
        </is>
      </c>
      <c r="F8" s="4" t="inlineStr">
        <is>
          <t>SPM-22_Test_Cases.xlsx</t>
        </is>
      </c>
      <c r="G8" s="4" t="inlineStr">
        <is>
          <t>TC04</t>
        </is>
      </c>
      <c r="H8" s="4" t="inlineStr">
        <is>
          <t>Base seed data</t>
        </is>
      </c>
      <c r="I8" s="6" t="inlineStr">
        <is>
          <t>Kayalvizhi</t>
        </is>
      </c>
      <c r="J8" s="6" t="n"/>
      <c r="K8" s="5" t="n"/>
      <c r="L8" s="6" t="n"/>
      <c r="M8" s="6" t="n"/>
    </row>
    <row r="9" ht="26.4" customHeight="1" s="18">
      <c r="A9" s="4" t="inlineStr">
        <is>
          <t>SPM-22-TC17</t>
        </is>
      </c>
      <c r="B9" s="4" t="inlineStr">
        <is>
          <t>SPM-22</t>
        </is>
      </c>
      <c r="C9" s="4" t="inlineStr">
        <is>
          <t>Internal planning fields are absent from an Attendee's view of an event</t>
        </is>
      </c>
      <c r="D9" s="4" t="inlineStr">
        <is>
          <t>AC5</t>
        </is>
      </c>
      <c r="E9" s="4" t="inlineStr">
        <is>
          <t>Positive</t>
        </is>
      </c>
      <c r="F9" s="4" t="inlineStr">
        <is>
          <t>SPM-22_Test_Cases.xlsx</t>
        </is>
      </c>
      <c r="G9" s="4" t="inlineStr">
        <is>
          <t>TC17</t>
        </is>
      </c>
      <c r="H9" s="4" t="inlineStr">
        <is>
          <t>Base seed data</t>
        </is>
      </c>
      <c r="I9" s="6" t="inlineStr">
        <is>
          <t>Kayalvizhi</t>
        </is>
      </c>
      <c r="J9" s="6" t="n"/>
      <c r="K9" s="5" t="n"/>
      <c r="L9" s="6" t="n"/>
      <c r="M9" s="6" t="n"/>
    </row>
    <row r="10" ht="26.4" customHeight="1" s="18">
      <c r="A10" s="4" t="inlineStr">
        <is>
          <t>SPM-22-TC19</t>
        </is>
      </c>
      <c r="B10" s="4" t="inlineStr">
        <is>
          <t>SPM-22</t>
        </is>
      </c>
      <c r="C10" s="4" t="inlineStr">
        <is>
          <t>The Operations Manager's navigation matches their permissions</t>
        </is>
      </c>
      <c r="D10" s="4" t="inlineStr">
        <is>
          <t>AC6</t>
        </is>
      </c>
      <c r="E10" s="4" t="inlineStr">
        <is>
          <t>Positive</t>
        </is>
      </c>
      <c r="F10" s="4" t="inlineStr">
        <is>
          <t>SPM-22_Test_Cases.xlsx</t>
        </is>
      </c>
      <c r="G10" s="4" t="inlineStr">
        <is>
          <t>TC19</t>
        </is>
      </c>
      <c r="H10" s="4" t="inlineStr">
        <is>
          <t>Base seed data</t>
        </is>
      </c>
      <c r="I10" s="6" t="inlineStr">
        <is>
          <t>Kayalvizhi</t>
        </is>
      </c>
      <c r="J10" s="6" t="n"/>
      <c r="K10" s="5" t="n"/>
      <c r="L10" s="6" t="n"/>
      <c r="M10" s="6" t="n"/>
    </row>
    <row r="11">
      <c r="A11" s="4" t="inlineStr">
        <is>
          <t>SPM-23-TC01</t>
        </is>
      </c>
      <c r="B11" s="4" t="inlineStr">
        <is>
          <t>SPM-23</t>
        </is>
      </c>
      <c r="C11" s="4" t="inlineStr">
        <is>
          <t>Organiser can enter an event name and purpose</t>
        </is>
      </c>
      <c r="D11" s="4" t="inlineStr">
        <is>
          <t>AC1</t>
        </is>
      </c>
      <c r="E11" s="4" t="inlineStr">
        <is>
          <t>Positive</t>
        </is>
      </c>
      <c r="F11" s="4" t="inlineStr">
        <is>
          <t>SPM-23_Test_Cases.xlsx</t>
        </is>
      </c>
      <c r="G11" s="4" t="inlineStr">
        <is>
          <t>TC01</t>
        </is>
      </c>
      <c r="H11" s="4" t="inlineStr">
        <is>
          <t>Base seed data</t>
        </is>
      </c>
      <c r="I11" s="6" t="inlineStr">
        <is>
          <t>Kayalvizhi</t>
        </is>
      </c>
      <c r="J11" s="6" t="n"/>
      <c r="K11" s="5" t="n"/>
      <c r="L11" s="6" t="n"/>
      <c r="M11" s="6" t="n"/>
    </row>
    <row r="12">
      <c r="A12" s="4" t="inlineStr">
        <is>
          <t>SPM-23-TC03</t>
        </is>
      </c>
      <c r="B12" s="4" t="inlineStr">
        <is>
          <t>SPM-23</t>
        </is>
      </c>
      <c r="C12" s="4" t="inlineStr">
        <is>
          <t>Organiser can enter and save an event description</t>
        </is>
      </c>
      <c r="D12" s="4" t="inlineStr">
        <is>
          <t>AC2</t>
        </is>
      </c>
      <c r="E12" s="4" t="inlineStr">
        <is>
          <t>Positive</t>
        </is>
      </c>
      <c r="F12" s="4" t="inlineStr">
        <is>
          <t>SPM-23_Test_Cases.xlsx</t>
        </is>
      </c>
      <c r="G12" s="4" t="inlineStr">
        <is>
          <t>TC03</t>
        </is>
      </c>
      <c r="H12" s="4" t="inlineStr">
        <is>
          <t>Base seed data</t>
        </is>
      </c>
      <c r="I12" s="6" t="inlineStr">
        <is>
          <t>Kayalvizhi</t>
        </is>
      </c>
      <c r="J12" s="6" t="n"/>
      <c r="K12" s="5" t="n"/>
      <c r="L12" s="6" t="n"/>
      <c r="M12" s="6" t="n"/>
    </row>
    <row r="13">
      <c r="A13" s="4" t="inlineStr">
        <is>
          <t>SPM-23-TC04</t>
        </is>
      </c>
      <c r="B13" s="4" t="inlineStr">
        <is>
          <t>SPM-23</t>
        </is>
      </c>
      <c r="C13" s="4" t="inlineStr">
        <is>
          <t>Organiser can specify the proposed date and time</t>
        </is>
      </c>
      <c r="D13" s="4" t="inlineStr">
        <is>
          <t>AC3</t>
        </is>
      </c>
      <c r="E13" s="4" t="inlineStr">
        <is>
          <t>Positive</t>
        </is>
      </c>
      <c r="F13" s="4" t="inlineStr">
        <is>
          <t>SPM-23_Test_Cases.xlsx</t>
        </is>
      </c>
      <c r="G13" s="4" t="inlineStr">
        <is>
          <t>TC04</t>
        </is>
      </c>
      <c r="H13" s="4" t="inlineStr">
        <is>
          <t>Base seed data</t>
        </is>
      </c>
      <c r="I13" s="6" t="inlineStr">
        <is>
          <t>Kayalvizhi</t>
        </is>
      </c>
      <c r="J13" s="6" t="n"/>
      <c r="K13" s="5" t="n"/>
      <c r="L13" s="6" t="n"/>
      <c r="M13" s="6" t="n"/>
    </row>
    <row r="14">
      <c r="A14" s="4" t="inlineStr">
        <is>
          <t>SPM-23-TC07</t>
        </is>
      </c>
      <c r="B14" s="4" t="inlineStr">
        <is>
          <t>SPM-23</t>
        </is>
      </c>
      <c r="C14" s="4" t="inlineStr">
        <is>
          <t>Organiser can specify expected attendance</t>
        </is>
      </c>
      <c r="D14" s="4" t="inlineStr">
        <is>
          <t>AC4</t>
        </is>
      </c>
      <c r="E14" s="4" t="inlineStr">
        <is>
          <t>Positive</t>
        </is>
      </c>
      <c r="F14" s="4" t="inlineStr">
        <is>
          <t>SPM-23_Test_Cases.xlsx</t>
        </is>
      </c>
      <c r="G14" s="4" t="inlineStr">
        <is>
          <t>TC07</t>
        </is>
      </c>
      <c r="H14" s="4" t="inlineStr">
        <is>
          <t>Base seed data</t>
        </is>
      </c>
      <c r="I14" s="6" t="inlineStr">
        <is>
          <t>Kayalvizhi</t>
        </is>
      </c>
      <c r="J14" s="6" t="n"/>
      <c r="K14" s="5" t="n"/>
      <c r="L14" s="6" t="n"/>
      <c r="M14" s="6" t="n"/>
    </row>
    <row r="15">
      <c r="A15" s="4" t="inlineStr">
        <is>
          <t>SPM-23-TC10</t>
        </is>
      </c>
      <c r="B15" s="4" t="inlineStr">
        <is>
          <t>SPM-23</t>
        </is>
      </c>
      <c r="C15" s="4" t="inlineStr">
        <is>
          <t>Organiser can specify venue and accessibility requirements</t>
        </is>
      </c>
      <c r="D15" s="4" t="inlineStr">
        <is>
          <t>AC5</t>
        </is>
      </c>
      <c r="E15" s="4" t="inlineStr">
        <is>
          <t>Positive</t>
        </is>
      </c>
      <c r="F15" s="4" t="inlineStr">
        <is>
          <t>SPM-23_Test_Cases.xlsx</t>
        </is>
      </c>
      <c r="G15" s="4" t="inlineStr">
        <is>
          <t>TC10</t>
        </is>
      </c>
      <c r="H15" s="4" t="inlineStr">
        <is>
          <t>Base seed data</t>
        </is>
      </c>
      <c r="I15" s="6" t="inlineStr">
        <is>
          <t>Kayalvizhi</t>
        </is>
      </c>
      <c r="J15" s="6" t="n"/>
      <c r="K15" s="5" t="n"/>
      <c r="L15" s="6" t="n"/>
      <c r="M15" s="6" t="n"/>
    </row>
    <row r="16">
      <c r="A16" s="4" t="inlineStr">
        <is>
          <t>SPM-23-TC18</t>
        </is>
      </c>
      <c r="B16" s="4" t="inlineStr">
        <is>
          <t>SPM-23</t>
        </is>
      </c>
      <c r="C16" s="4" t="inlineStr">
        <is>
          <t>A fully completed request can be submitted</t>
        </is>
      </c>
      <c r="D16" s="4" t="inlineStr">
        <is>
          <t>AC7</t>
        </is>
      </c>
      <c r="E16" s="4" t="inlineStr">
        <is>
          <t>Positive</t>
        </is>
      </c>
      <c r="F16" s="4" t="inlineStr">
        <is>
          <t>SPM-23_Test_Cases.xlsx</t>
        </is>
      </c>
      <c r="G16" s="4" t="inlineStr">
        <is>
          <t>TC18</t>
        </is>
      </c>
      <c r="H16" s="4" t="inlineStr">
        <is>
          <t>Base seed data</t>
        </is>
      </c>
      <c r="I16" s="6" t="inlineStr">
        <is>
          <t>Kayalvizhi</t>
        </is>
      </c>
      <c r="J16" s="6" t="n"/>
      <c r="K16" s="5" t="n"/>
      <c r="L16" s="6" t="n"/>
      <c r="M16" s="6" t="n"/>
    </row>
    <row r="17" ht="26.4" customHeight="1" s="18">
      <c r="A17" s="4" t="inlineStr">
        <is>
          <t>SPM-23-TC27</t>
        </is>
      </c>
      <c r="B17" s="4" t="inlineStr">
        <is>
          <t>SPM-23</t>
        </is>
      </c>
      <c r="C17" s="4" t="inlineStr">
        <is>
          <t>A multi-session draft is identifiable as a draft and shows the span and largest attendance</t>
        </is>
      </c>
      <c r="D17" s="4" t="inlineStr">
        <is>
          <t>AC6, AC8</t>
        </is>
      </c>
      <c r="E17" s="4" t="inlineStr">
        <is>
          <t>Positive</t>
        </is>
      </c>
      <c r="F17" s="4" t="inlineStr">
        <is>
          <t>SPM-23_Test_Cases.xlsx</t>
        </is>
      </c>
      <c r="G17" s="4" t="inlineStr">
        <is>
          <t>TC27</t>
        </is>
      </c>
      <c r="H17" s="4" t="inlineStr">
        <is>
          <t>Base seed data</t>
        </is>
      </c>
      <c r="I17" s="6" t="inlineStr">
        <is>
          <t>Kayalvizhi</t>
        </is>
      </c>
      <c r="J17" s="6" t="n"/>
      <c r="K17" s="5" t="n"/>
      <c r="L17" s="6" t="n"/>
      <c r="M17" s="6" t="n"/>
    </row>
    <row r="18">
      <c r="A18" s="4" t="inlineStr">
        <is>
          <t>SPM-24-TC01</t>
        </is>
      </c>
      <c r="B18" s="4" t="inlineStr">
        <is>
          <t>SPM-24</t>
        </is>
      </c>
      <c r="C18" s="4" t="inlineStr">
        <is>
          <t>Save Draft creates a saved draft with only a title</t>
        </is>
      </c>
      <c r="D18" s="4" t="inlineStr">
        <is>
          <t>AC1</t>
        </is>
      </c>
      <c r="E18" s="4" t="inlineStr">
        <is>
          <t>Positive</t>
        </is>
      </c>
      <c r="F18" s="4" t="inlineStr">
        <is>
          <t>SPM-24_Test_Cases.xlsx</t>
        </is>
      </c>
      <c r="G18" s="4" t="inlineStr">
        <is>
          <t>TC01</t>
        </is>
      </c>
      <c r="H18" s="4" t="inlineStr">
        <is>
          <t>Base seed data</t>
        </is>
      </c>
      <c r="I18" s="6" t="inlineStr">
        <is>
          <t>Kayalvizhi</t>
        </is>
      </c>
      <c r="J18" s="6" t="n"/>
      <c r="K18" s="5" t="n"/>
      <c r="L18" s="6" t="n"/>
      <c r="M18" s="6" t="inlineStr">
        <is>
          <t>Run before SPM-24-TC09, which continues from this case.</t>
        </is>
      </c>
    </row>
    <row r="19">
      <c r="A19" s="4" t="inlineStr">
        <is>
          <t>SPM-24-TC06</t>
        </is>
      </c>
      <c r="B19" s="4" t="inlineStr">
        <is>
          <t>SPM-24</t>
        </is>
      </c>
      <c r="C19" s="4" t="inlineStr">
        <is>
          <t>Organiser can leave and return to a saved draft</t>
        </is>
      </c>
      <c r="D19" s="4" t="inlineStr">
        <is>
          <t>AC3</t>
        </is>
      </c>
      <c r="E19" s="4" t="inlineStr">
        <is>
          <t>Positive</t>
        </is>
      </c>
      <c r="F19" s="4" t="inlineStr">
        <is>
          <t>SPM-24_Test_Cases.xlsx</t>
        </is>
      </c>
      <c r="G19" s="4" t="inlineStr">
        <is>
          <t>TC06</t>
        </is>
      </c>
      <c r="H19" s="4" t="inlineStr">
        <is>
          <t>Base seed data</t>
        </is>
      </c>
      <c r="I19" s="6" t="inlineStr">
        <is>
          <t>Kayalvizhi</t>
        </is>
      </c>
      <c r="J19" s="6" t="n"/>
      <c r="K19" s="5" t="n"/>
      <c r="L19" s="6" t="n"/>
      <c r="M19" s="6" t="n"/>
    </row>
    <row r="20">
      <c r="A20" s="4" t="inlineStr">
        <is>
          <t>SPM-24-TC09</t>
        </is>
      </c>
      <c r="B20" s="4" t="inlineStr">
        <is>
          <t>SPM-24</t>
        </is>
      </c>
      <c r="C20" s="4" t="inlineStr">
        <is>
          <t>Editing a draft's fields saves the changes</t>
        </is>
      </c>
      <c r="D20" s="4" t="inlineStr">
        <is>
          <t>AC4</t>
        </is>
      </c>
      <c r="E20" s="4" t="inlineStr">
        <is>
          <t>Positive</t>
        </is>
      </c>
      <c r="F20" s="4" t="inlineStr">
        <is>
          <t>SPM-24_Test_Cases.xlsx</t>
        </is>
      </c>
      <c r="G20" s="4" t="inlineStr">
        <is>
          <t>TC09</t>
        </is>
      </c>
      <c r="H20" s="4" t="inlineStr">
        <is>
          <t>Base seed data</t>
        </is>
      </c>
      <c r="I20" s="6" t="inlineStr">
        <is>
          <t>Kayalvizhi</t>
        </is>
      </c>
      <c r="J20" s="6" t="n"/>
      <c r="K20" s="5" t="n"/>
      <c r="L20" s="6" t="n"/>
      <c r="M20" s="6" t="inlineStr">
        <is>
          <t>Run straight after SPM-24-TC01; do not reset the fixtures in between.</t>
        </is>
      </c>
    </row>
    <row r="21">
      <c r="A21" s="4" t="inlineStr">
        <is>
          <t>SPM-24-TC14</t>
        </is>
      </c>
      <c r="B21" s="4" t="inlineStr">
        <is>
          <t>SPM-24</t>
        </is>
      </c>
      <c r="C21" s="4" t="inlineStr">
        <is>
          <t>A complete draft can be submitted and leaves draft status</t>
        </is>
      </c>
      <c r="D21" s="4" t="inlineStr">
        <is>
          <t>AC1, AC5</t>
        </is>
      </c>
      <c r="E21" s="4" t="inlineStr">
        <is>
          <t>Positive</t>
        </is>
      </c>
      <c r="F21" s="4" t="inlineStr">
        <is>
          <t>SPM-24_Test_Cases.xlsx</t>
        </is>
      </c>
      <c r="G21" s="4" t="inlineStr">
        <is>
          <t>TC14</t>
        </is>
      </c>
      <c r="H21" s="4" t="inlineStr">
        <is>
          <t>Base seed data</t>
        </is>
      </c>
      <c r="I21" s="6" t="inlineStr">
        <is>
          <t>Kayalvizhi</t>
        </is>
      </c>
      <c r="J21" s="6" t="n"/>
      <c r="K21" s="5" t="n"/>
      <c r="L21" s="6" t="n"/>
      <c r="M21" s="6" t="n"/>
    </row>
    <row r="22" ht="26.4" customHeight="1" s="18">
      <c r="A22" s="4" t="inlineStr">
        <is>
          <t>SPM-25-TC01</t>
        </is>
      </c>
      <c r="B22" s="4" t="inlineStr">
        <is>
          <t>SPM-25</t>
        </is>
      </c>
      <c r="C22" s="4" t="inlineStr">
        <is>
          <t>Submitting a complete event request succeeds and moves it to Submitted</t>
        </is>
      </c>
      <c r="D22" s="4" t="inlineStr">
        <is>
          <t>AC1, AC2</t>
        </is>
      </c>
      <c r="E22" s="4" t="inlineStr">
        <is>
          <t>Positive</t>
        </is>
      </c>
      <c r="F22" s="4" t="inlineStr">
        <is>
          <t>SPM-25_Test_Cases.xlsx</t>
        </is>
      </c>
      <c r="G22" s="4" t="inlineStr">
        <is>
          <t>TC01</t>
        </is>
      </c>
      <c r="H22" s="4" t="inlineStr">
        <is>
          <t>Base seed data</t>
        </is>
      </c>
      <c r="I22" s="6" t="inlineStr">
        <is>
          <t>Kayalvizhi</t>
        </is>
      </c>
      <c r="J22" s="6" t="n"/>
      <c r="K22" s="5" t="n"/>
      <c r="L22" s="6" t="n"/>
      <c r="M22" s="6" t="n"/>
    </row>
    <row r="23">
      <c r="A23" s="4" t="inlineStr">
        <is>
          <t>SPM-25-TC05</t>
        </is>
      </c>
      <c r="B23" s="4" t="inlineStr">
        <is>
          <t>SPM-25</t>
        </is>
      </c>
      <c r="C23" s="4" t="inlineStr">
        <is>
          <t>A submitted request no longer opens as an editable draft</t>
        </is>
      </c>
      <c r="D23" s="4" t="inlineStr">
        <is>
          <t>AC3</t>
        </is>
      </c>
      <c r="E23" s="4" t="inlineStr">
        <is>
          <t>Positive</t>
        </is>
      </c>
      <c r="F23" s="4" t="inlineStr">
        <is>
          <t>SPM-25_Test_Cases.xlsx</t>
        </is>
      </c>
      <c r="G23" s="4" t="inlineStr">
        <is>
          <t>TC05</t>
        </is>
      </c>
      <c r="H23" s="4" t="inlineStr">
        <is>
          <t>Base seed data</t>
        </is>
      </c>
      <c r="I23" s="6" t="inlineStr">
        <is>
          <t>Kayalvizhi</t>
        </is>
      </c>
      <c r="J23" s="6" t="n"/>
      <c r="K23" s="5" t="n"/>
      <c r="L23" s="6" t="n"/>
      <c r="M23" s="6" t="n"/>
    </row>
    <row r="24">
      <c r="A24" s="4" t="inlineStr">
        <is>
          <t>SPM-25-TC06</t>
        </is>
      </c>
      <c r="B24" s="4" t="inlineStr">
        <is>
          <t>SPM-25</t>
        </is>
      </c>
      <c r="C24" s="4" t="inlineStr">
        <is>
          <t>Event Coordinator can see a submitted request in All Events</t>
        </is>
      </c>
      <c r="D24" s="4" t="inlineStr">
        <is>
          <t>AC4</t>
        </is>
      </c>
      <c r="E24" s="4" t="inlineStr">
        <is>
          <t>Positive</t>
        </is>
      </c>
      <c r="F24" s="4" t="inlineStr">
        <is>
          <t>SPM-25_Test_Cases.xlsx</t>
        </is>
      </c>
      <c r="G24" s="4" t="inlineStr">
        <is>
          <t>TC06</t>
        </is>
      </c>
      <c r="H24" s="4" t="inlineStr">
        <is>
          <t>Base seed data</t>
        </is>
      </c>
      <c r="I24" s="6" t="inlineStr">
        <is>
          <t>Kayalvizhi</t>
        </is>
      </c>
      <c r="J24" s="6" t="n"/>
      <c r="K24" s="5" t="n"/>
      <c r="L24" s="6" t="n"/>
      <c r="M24" s="6" t="n"/>
    </row>
    <row r="25" ht="26.4" customHeight="1" s="18">
      <c r="A25" s="4" t="inlineStr">
        <is>
          <t>SPM-27-TC01</t>
        </is>
      </c>
      <c r="B25" s="4" t="inlineStr">
        <is>
          <t>SPM-27</t>
        </is>
      </c>
      <c r="C25" s="4" t="inlineStr">
        <is>
          <t>My Events shows each of the organiser's events with its current status badge</t>
        </is>
      </c>
      <c r="D25" s="4" t="inlineStr">
        <is>
          <t>AC1, AC3</t>
        </is>
      </c>
      <c r="E25" s="4" t="inlineStr">
        <is>
          <t>Positive</t>
        </is>
      </c>
      <c r="F25" s="4" t="inlineStr">
        <is>
          <t>SPM-27_Test_Cases.xlsx</t>
        </is>
      </c>
      <c r="G25" s="4" t="inlineStr">
        <is>
          <t>TC01</t>
        </is>
      </c>
      <c r="H25" s="4" t="inlineStr">
        <is>
          <t>npm run fixtures:spm27</t>
        </is>
      </c>
      <c r="I25" s="6" t="inlineStr">
        <is>
          <t>Kayalvizhi</t>
        </is>
      </c>
      <c r="J25" s="6" t="n"/>
      <c r="K25" s="5" t="n"/>
      <c r="L25" s="6" t="n"/>
      <c r="M25" s="6" t="n"/>
    </row>
    <row r="26">
      <c r="A26" s="4" t="inlineStr">
        <is>
          <t>SPM-27-TC02</t>
        </is>
      </c>
      <c r="B26" s="4" t="inlineStr">
        <is>
          <t>SPM-27</t>
        </is>
      </c>
      <c r="C26" s="4" t="inlineStr">
        <is>
          <t>Event page status changes after another role acts on the event</t>
        </is>
      </c>
      <c r="D26" s="4" t="inlineStr">
        <is>
          <t>AC1, AC2</t>
        </is>
      </c>
      <c r="E26" s="4" t="inlineStr">
        <is>
          <t>Positive</t>
        </is>
      </c>
      <c r="F26" s="4" t="inlineStr">
        <is>
          <t>SPM-27_Test_Cases.xlsx</t>
        </is>
      </c>
      <c r="G26" s="4" t="inlineStr">
        <is>
          <t>TC02</t>
        </is>
      </c>
      <c r="H26" s="4" t="inlineStr">
        <is>
          <t>npm run fixtures:spm27</t>
        </is>
      </c>
      <c r="I26" s="6" t="inlineStr">
        <is>
          <t>Kayalvizhi</t>
        </is>
      </c>
      <c r="J26" s="6" t="n"/>
      <c r="K26" s="5" t="n"/>
      <c r="L26" s="6" t="n"/>
      <c r="M26" s="6" t="n"/>
    </row>
    <row r="27">
      <c r="A27" s="4" t="inlineStr">
        <is>
          <t>SPM-31-TC03</t>
        </is>
      </c>
      <c r="B27" s="4" t="inlineStr">
        <is>
          <t>SPM-31</t>
        </is>
      </c>
      <c r="C27" s="4" t="inlineStr">
        <is>
          <t>Opening a draft from 'My Events' goes straight to the draft editor, never the Overview tab</t>
        </is>
      </c>
      <c r="D27" s="4" t="inlineStr">
        <is>
          <t>AC1</t>
        </is>
      </c>
      <c r="E27" s="4" t="inlineStr">
        <is>
          <t>Positive</t>
        </is>
      </c>
      <c r="F27" s="4" t="inlineStr">
        <is>
          <t>SPM-31_Test_Cases.xlsx</t>
        </is>
      </c>
      <c r="G27" s="4" t="inlineStr">
        <is>
          <t>TC03</t>
        </is>
      </c>
      <c r="H27" s="4" t="inlineStr">
        <is>
          <t>Base seed data</t>
        </is>
      </c>
      <c r="I27" s="6" t="inlineStr">
        <is>
          <t>Kayalvizhi</t>
        </is>
      </c>
      <c r="J27" s="6" t="n"/>
      <c r="K27" s="5" t="n"/>
      <c r="L27" s="6" t="n"/>
      <c r="M27" s="6" t="n"/>
    </row>
    <row r="28">
      <c r="A28" s="4" t="inlineStr">
        <is>
          <t>SPM-62-TC01</t>
        </is>
      </c>
      <c r="B28" s="4" t="inlineStr">
        <is>
          <t>SPM-62</t>
        </is>
      </c>
      <c r="C28" s="4" t="inlineStr">
        <is>
          <t>The edit form opens with the event's current information and only the fields a coordinator may change</t>
        </is>
      </c>
      <c r="D28" s="4" t="inlineStr">
        <is>
          <t>AC1, AC3</t>
        </is>
      </c>
      <c r="E28" s="4" t="inlineStr">
        <is>
          <t>Positive</t>
        </is>
      </c>
      <c r="F28" s="4" t="inlineStr">
        <is>
          <t>SPM-62_Test_Cases.xlsx</t>
        </is>
      </c>
      <c r="G28" s="4" t="inlineStr">
        <is>
          <t>TC01</t>
        </is>
      </c>
      <c r="H28" s="4" t="inlineStr">
        <is>
          <t>npm run fixtures:spm62</t>
        </is>
      </c>
      <c r="I28" s="6" t="inlineStr">
        <is>
          <t>Kayalvizhi</t>
        </is>
      </c>
      <c r="J28" s="6" t="n"/>
      <c r="K28" s="5" t="n"/>
      <c r="L28" s="6" t="n"/>
      <c r="M28" s="6" t="n"/>
    </row>
    <row r="29">
      <c r="A29" s="4" t="inlineStr">
        <is>
          <t>SPM-62-TC03</t>
        </is>
      </c>
      <c r="B29" s="4" t="inlineStr">
        <is>
          <t>SPM-62</t>
        </is>
      </c>
      <c r="C29" s="4" t="inlineStr">
        <is>
          <t>An ordinary edit to an Approved event is saved and shown on the event, with nothing flagged</t>
        </is>
      </c>
      <c r="D29" s="4" t="inlineStr">
        <is>
          <t>AC1, AC2, AC7</t>
        </is>
      </c>
      <c r="E29" s="4" t="inlineStr">
        <is>
          <t>Positive</t>
        </is>
      </c>
      <c r="F29" s="4" t="inlineStr">
        <is>
          <t>SPM-62_Test_Cases.xlsx</t>
        </is>
      </c>
      <c r="G29" s="4" t="inlineStr">
        <is>
          <t>TC03</t>
        </is>
      </c>
      <c r="H29" s="4" t="inlineStr">
        <is>
          <t>npm run fixtures:spm62</t>
        </is>
      </c>
      <c r="I29" s="6" t="inlineStr">
        <is>
          <t>Kayalvizhi</t>
        </is>
      </c>
      <c r="J29" s="6" t="n"/>
      <c r="K29" s="5" t="n"/>
      <c r="L29" s="6" t="n"/>
      <c r="M29" s="6" t="n"/>
    </row>
    <row r="30" ht="26.4" customHeight="1" s="18">
      <c r="A30" s="4" t="inlineStr">
        <is>
          <t>SPM-62-TC05</t>
        </is>
      </c>
      <c r="B30" s="4" t="inlineStr">
        <is>
          <t>SPM-62</t>
        </is>
      </c>
      <c r="C30" s="4" t="inlineStr">
        <is>
          <t>A date change on a Planning event flags its venue booking, equipment and registrations without changing them</t>
        </is>
      </c>
      <c r="D30" s="4" t="inlineStr">
        <is>
          <t>AC2, AC4, AC5</t>
        </is>
      </c>
      <c r="E30" s="4" t="inlineStr">
        <is>
          <t>Positive</t>
        </is>
      </c>
      <c r="F30" s="4" t="inlineStr">
        <is>
          <t>SPM-62_Test_Cases.xlsx</t>
        </is>
      </c>
      <c r="G30" s="4" t="inlineStr">
        <is>
          <t>TC05</t>
        </is>
      </c>
      <c r="H30" s="4" t="inlineStr">
        <is>
          <t>npm run fixtures:spm62</t>
        </is>
      </c>
      <c r="I30" s="6" t="inlineStr">
        <is>
          <t>Kayalvizhi</t>
        </is>
      </c>
      <c r="J30" s="6" t="n"/>
      <c r="K30" s="5" t="n"/>
      <c r="L30" s="6" t="n"/>
      <c r="M30" s="6" t="inlineStr">
        <is>
          <t>Run before SPM-62-TC06, which continues from this case.</t>
        </is>
      </c>
    </row>
    <row r="31">
      <c r="A31" s="4" t="inlineStr">
        <is>
          <t>SPM-62-TC06</t>
        </is>
      </c>
      <c r="B31" s="4" t="inlineStr">
        <is>
          <t>SPM-62</t>
        </is>
      </c>
      <c r="C31" s="4" t="inlineStr">
        <is>
          <t>The organiser sees the event's new date</t>
        </is>
      </c>
      <c r="D31" s="4" t="inlineStr">
        <is>
          <t>AC2</t>
        </is>
      </c>
      <c r="E31" s="4" t="inlineStr">
        <is>
          <t>Positive</t>
        </is>
      </c>
      <c r="F31" s="4" t="inlineStr">
        <is>
          <t>SPM-62_Test_Cases.xlsx</t>
        </is>
      </c>
      <c r="G31" s="4" t="inlineStr">
        <is>
          <t>TC06</t>
        </is>
      </c>
      <c r="H31" s="4" t="inlineStr">
        <is>
          <t>npm run fixtures:spm62</t>
        </is>
      </c>
      <c r="I31" s="6" t="inlineStr">
        <is>
          <t>Kayalvizhi</t>
        </is>
      </c>
      <c r="J31" s="6" t="n"/>
      <c r="K31" s="5" t="n"/>
      <c r="L31" s="6" t="n"/>
      <c r="M31" s="6" t="inlineStr">
        <is>
          <t>Run straight after SPM-62-TC05; do not reset the fixtures in between.</t>
        </is>
      </c>
    </row>
    <row r="32">
      <c r="A32" s="4" t="inlineStr">
        <is>
          <t>SPM-62-TC09</t>
        </is>
      </c>
      <c r="B32" s="4" t="inlineStr">
        <is>
          <t>SPM-62</t>
        </is>
      </c>
      <c r="C32" s="4" t="inlineStr">
        <is>
          <t>A date change on a Confirmed event moves it back to Planning and flags its arrangements</t>
        </is>
      </c>
      <c r="D32" s="4" t="inlineStr">
        <is>
          <t>AC2, AC5, AC6</t>
        </is>
      </c>
      <c r="E32" s="4" t="inlineStr">
        <is>
          <t>Positive</t>
        </is>
      </c>
      <c r="F32" s="4" t="inlineStr">
        <is>
          <t>SPM-62_Test_Cases.xlsx</t>
        </is>
      </c>
      <c r="G32" s="4" t="inlineStr">
        <is>
          <t>TC09</t>
        </is>
      </c>
      <c r="H32" s="4" t="inlineStr">
        <is>
          <t>npm run fixtures:spm62</t>
        </is>
      </c>
      <c r="I32" s="6" t="inlineStr">
        <is>
          <t>Kayalvizhi</t>
        </is>
      </c>
      <c r="J32" s="6" t="n"/>
      <c r="K32" s="5" t="n"/>
      <c r="L32" s="6" t="n"/>
      <c r="M32" s="6" t="n"/>
    </row>
    <row r="33" ht="26.4" customHeight="1" s="18">
      <c r="A33" s="4" t="inlineStr">
        <is>
          <t>SPM-85-TC01</t>
        </is>
      </c>
      <c r="B33" s="4" t="inlineStr">
        <is>
          <t>SPM-85</t>
        </is>
      </c>
      <c r="C33" s="4" t="inlineStr">
        <is>
          <t>A Safety Officer can log in and is shown as a Safety Officer</t>
        </is>
      </c>
      <c r="D33" s="4" t="inlineStr">
        <is>
          <t>AC1</t>
        </is>
      </c>
      <c r="E33" s="4" t="inlineStr">
        <is>
          <t>Positive</t>
        </is>
      </c>
      <c r="F33" s="4" t="inlineStr">
        <is>
          <t>SPM-85_Test_Cases.xlsx</t>
        </is>
      </c>
      <c r="G33" s="4" t="inlineStr">
        <is>
          <t>TC01</t>
        </is>
      </c>
      <c r="H33" s="4" t="inlineStr">
        <is>
          <t>npm run fixtures:spm85</t>
        </is>
      </c>
      <c r="I33" s="6" t="inlineStr">
        <is>
          <t>Kayalvizhi</t>
        </is>
      </c>
      <c r="J33" s="6" t="n"/>
      <c r="K33" s="5" t="n"/>
      <c r="L33" s="6" t="n"/>
      <c r="M33" s="6" t="n"/>
    </row>
    <row r="34" ht="26.4" customHeight="1" s="18">
      <c r="A34" s="4" t="inlineStr">
        <is>
          <t>SPM-85-TC03</t>
        </is>
      </c>
      <c r="B34" s="4" t="inlineStr">
        <is>
          <t>SPM-85</t>
        </is>
      </c>
      <c r="C34" s="4" t="inlineStr">
        <is>
          <t>A Safety Officer's sidebar shows only Dashboard, Safety Checks, All Events and Notifications</t>
        </is>
      </c>
      <c r="D34" s="4" t="inlineStr">
        <is>
          <t>AC2</t>
        </is>
      </c>
      <c r="E34" s="4" t="inlineStr">
        <is>
          <t>Positive</t>
        </is>
      </c>
      <c r="F34" s="4" t="inlineStr">
        <is>
          <t>SPM-85_Test_Cases.xlsx</t>
        </is>
      </c>
      <c r="G34" s="4" t="inlineStr">
        <is>
          <t>TC03</t>
        </is>
      </c>
      <c r="H34" s="4" t="inlineStr">
        <is>
          <t>npm run fixtures:spm85</t>
        </is>
      </c>
      <c r="I34" s="6" t="inlineStr">
        <is>
          <t>Kayalvizhi</t>
        </is>
      </c>
      <c r="J34" s="6" t="n"/>
      <c r="K34" s="5" t="n"/>
      <c r="L34" s="6" t="n"/>
      <c r="M34" s="6" t="n"/>
    </row>
    <row r="35">
      <c r="A35" s="4" t="inlineStr">
        <is>
          <t>SPM-85-TC06</t>
        </is>
      </c>
      <c r="B35" s="4" t="inlineStr">
        <is>
          <t>SPM-85</t>
        </is>
      </c>
      <c r="C35" s="4" t="inlineStr">
        <is>
          <t>A Safety Officer sees the event's equipment arrangements read-only</t>
        </is>
      </c>
      <c r="D35" s="4" t="inlineStr">
        <is>
          <t>AC3, AC4</t>
        </is>
      </c>
      <c r="E35" s="4" t="inlineStr">
        <is>
          <t>Positive</t>
        </is>
      </c>
      <c r="F35" s="4" t="inlineStr">
        <is>
          <t>SPM-85_Test_Cases.xlsx</t>
        </is>
      </c>
      <c r="G35" s="4" t="inlineStr">
        <is>
          <t>TC06</t>
        </is>
      </c>
      <c r="H35" s="4" t="inlineStr">
        <is>
          <t>npm run fixtures:spm85</t>
        </is>
      </c>
      <c r="I35" s="6" t="inlineStr">
        <is>
          <t>Kayalvizhi</t>
        </is>
      </c>
      <c r="J35" s="6" t="n"/>
      <c r="K35" s="5" t="n"/>
      <c r="L35" s="6" t="n"/>
      <c r="M35" s="6" t="n"/>
    </row>
    <row r="36" ht="26.4" customHeight="1" s="18">
      <c r="A36" s="4" t="inlineStr">
        <is>
          <t>SPM-28-TC01</t>
        </is>
      </c>
      <c r="B36" s="4" t="inlineStr">
        <is>
          <t>SPM-28</t>
        </is>
      </c>
      <c r="C36" s="4" t="inlineStr">
        <is>
          <t>Review Queue lists only the Under review events assigned to the logged-in coordinator</t>
        </is>
      </c>
      <c r="D36" s="4" t="inlineStr">
        <is>
          <t>AC1</t>
        </is>
      </c>
      <c r="E36" s="4" t="inlineStr">
        <is>
          <t>Positive</t>
        </is>
      </c>
      <c r="F36" s="4" t="inlineStr">
        <is>
          <t>SPM-28_Test_Cases.xlsx</t>
        </is>
      </c>
      <c r="G36" s="4" t="inlineStr">
        <is>
          <t>TC01</t>
        </is>
      </c>
      <c r="H36" s="4" t="inlineStr">
        <is>
          <t>npm run fixtures:spm28</t>
        </is>
      </c>
      <c r="I36" s="6" t="inlineStr">
        <is>
          <t>Jordan</t>
        </is>
      </c>
      <c r="J36" s="6" t="n"/>
      <c r="K36" s="5" t="n"/>
      <c r="L36" s="6" t="n"/>
      <c r="M36" s="6" t="n"/>
    </row>
    <row r="37">
      <c r="A37" s="4" t="inlineStr">
        <is>
          <t>SPM-28-TC05</t>
        </is>
      </c>
      <c r="B37" s="4" t="inlineStr">
        <is>
          <t>SPM-28</t>
        </is>
      </c>
      <c r="C37" s="4" t="inlineStr">
        <is>
          <t>Review page displays all requirements of the request</t>
        </is>
      </c>
      <c r="D37" s="4" t="inlineStr">
        <is>
          <t>AC2</t>
        </is>
      </c>
      <c r="E37" s="4" t="inlineStr">
        <is>
          <t>Positive</t>
        </is>
      </c>
      <c r="F37" s="4" t="inlineStr">
        <is>
          <t>SPM-28_Test_Cases.xlsx</t>
        </is>
      </c>
      <c r="G37" s="4" t="inlineStr">
        <is>
          <t>TC05</t>
        </is>
      </c>
      <c r="H37" s="4" t="inlineStr">
        <is>
          <t>npm run fixtures:spm28</t>
        </is>
      </c>
      <c r="I37" s="6" t="inlineStr">
        <is>
          <t>Jordan</t>
        </is>
      </c>
      <c r="J37" s="6" t="n"/>
      <c r="K37" s="5" t="n"/>
      <c r="L37" s="6" t="n"/>
      <c r="M37" s="6" t="n"/>
    </row>
    <row r="38">
      <c r="A38" s="4" t="inlineStr">
        <is>
          <t>SPM-28-TC06</t>
        </is>
      </c>
      <c r="B38" s="4" t="inlineStr">
        <is>
          <t>SPM-28</t>
        </is>
      </c>
      <c r="C38" s="4" t="inlineStr">
        <is>
          <t>Missing information is clearly flagged on the review page</t>
        </is>
      </c>
      <c r="D38" s="4" t="inlineStr">
        <is>
          <t>AC3</t>
        </is>
      </c>
      <c r="E38" s="4" t="inlineStr">
        <is>
          <t>Positive</t>
        </is>
      </c>
      <c r="F38" s="4" t="inlineStr">
        <is>
          <t>SPM-28_Test_Cases.xlsx</t>
        </is>
      </c>
      <c r="G38" s="4" t="inlineStr">
        <is>
          <t>TC06</t>
        </is>
      </c>
      <c r="H38" s="4" t="inlineStr">
        <is>
          <t>npm run fixtures:spm28</t>
        </is>
      </c>
      <c r="I38" s="6" t="inlineStr">
        <is>
          <t>Jordan</t>
        </is>
      </c>
      <c r="J38" s="6" t="n"/>
      <c r="K38" s="5" t="n"/>
      <c r="L38" s="6" t="n"/>
      <c r="M38" s="6" t="n"/>
    </row>
    <row r="39">
      <c r="A39" s="4" t="inlineStr">
        <is>
          <t>SPM-28-TC08</t>
        </is>
      </c>
      <c r="B39" s="4" t="inlineStr">
        <is>
          <t>SPM-28</t>
        </is>
      </c>
      <c r="C39" s="4" t="inlineStr">
        <is>
          <t>Coordinator approves a request for planning</t>
        </is>
      </c>
      <c r="D39" s="4" t="inlineStr">
        <is>
          <t>AC4, AC6</t>
        </is>
      </c>
      <c r="E39" s="4" t="inlineStr">
        <is>
          <t>Positive</t>
        </is>
      </c>
      <c r="F39" s="4" t="inlineStr">
        <is>
          <t>SPM-28_Test_Cases.xlsx</t>
        </is>
      </c>
      <c r="G39" s="4" t="inlineStr">
        <is>
          <t>TC08</t>
        </is>
      </c>
      <c r="H39" s="4" t="inlineStr">
        <is>
          <t>npm run fixtures:spm28</t>
        </is>
      </c>
      <c r="I39" s="6" t="inlineStr">
        <is>
          <t>Jordan</t>
        </is>
      </c>
      <c r="J39" s="6" t="n"/>
      <c r="K39" s="5" t="n"/>
      <c r="L39" s="6" t="n"/>
      <c r="M39" s="6" t="n"/>
    </row>
    <row r="40">
      <c r="A40" s="4" t="inlineStr">
        <is>
          <t>SPM-28-TC10</t>
        </is>
      </c>
      <c r="B40" s="4" t="inlineStr">
        <is>
          <t>SPM-28</t>
        </is>
      </c>
      <c r="C40" s="4" t="inlineStr">
        <is>
          <t>Coordinator rejects a request with a reason</t>
        </is>
      </c>
      <c r="D40" s="4" t="inlineStr">
        <is>
          <t>AC5, AC6</t>
        </is>
      </c>
      <c r="E40" s="4" t="inlineStr">
        <is>
          <t>Positive</t>
        </is>
      </c>
      <c r="F40" s="4" t="inlineStr">
        <is>
          <t>SPM-28_Test_Cases.xlsx</t>
        </is>
      </c>
      <c r="G40" s="4" t="inlineStr">
        <is>
          <t>TC10</t>
        </is>
      </c>
      <c r="H40" s="4" t="inlineStr">
        <is>
          <t>npm run fixtures:spm28</t>
        </is>
      </c>
      <c r="I40" s="6" t="inlineStr">
        <is>
          <t>Jordan</t>
        </is>
      </c>
      <c r="J40" s="6" t="n"/>
      <c r="K40" s="5" t="n"/>
      <c r="L40" s="6" t="n"/>
      <c r="M40" s="6" t="inlineStr">
        <is>
          <t>Run before SPM-28-TC11, which continues from this case.</t>
        </is>
      </c>
    </row>
    <row r="41" ht="26.4" customHeight="1" s="18">
      <c r="A41" s="4" t="inlineStr">
        <is>
          <t>SPM-28-TC11</t>
        </is>
      </c>
      <c r="B41" s="4" t="inlineStr">
        <is>
          <t>SPM-28</t>
        </is>
      </c>
      <c r="C41" s="4" t="inlineStr">
        <is>
          <t>Organiser sees the Rejected status and the reason</t>
        </is>
      </c>
      <c r="D41" s="4" t="inlineStr">
        <is>
          <t>AC6</t>
        </is>
      </c>
      <c r="E41" s="4" t="inlineStr">
        <is>
          <t>Positive</t>
        </is>
      </c>
      <c r="F41" s="4" t="inlineStr">
        <is>
          <t>SPM-28_Test_Cases.xlsx</t>
        </is>
      </c>
      <c r="G41" s="4" t="inlineStr">
        <is>
          <t>TC11</t>
        </is>
      </c>
      <c r="H41" s="4" t="inlineStr">
        <is>
          <t>npm run fixtures:spm28</t>
        </is>
      </c>
      <c r="I41" s="6" t="inlineStr">
        <is>
          <t>Jordan</t>
        </is>
      </c>
      <c r="J41" s="6" t="n"/>
      <c r="K41" s="5" t="n"/>
      <c r="L41" s="6" t="n"/>
      <c r="M41" s="6" t="inlineStr">
        <is>
          <t>Run straight after SPM-28-TC10; do not reset the fixtures in between.</t>
        </is>
      </c>
    </row>
    <row r="42" ht="52.8" customHeight="1" s="18">
      <c r="A42" s="4" t="inlineStr">
        <is>
          <t>SPM-30-TC08</t>
        </is>
      </c>
      <c r="B42" s="4" t="inlineStr">
        <is>
          <t>SPM-30</t>
        </is>
      </c>
      <c r="C42" s="4" t="inlineStr">
        <is>
          <t>Ops Manager assigns a coordinator; it is recorded and the event moves to Under review</t>
        </is>
      </c>
      <c r="D42" s="4" t="inlineStr">
        <is>
          <t>AC1, AC2, AC3</t>
        </is>
      </c>
      <c r="E42" s="4" t="inlineStr">
        <is>
          <t>Positive</t>
        </is>
      </c>
      <c r="F42" s="4" t="inlineStr">
        <is>
          <t>SPM-30_Test_Cases.xlsx</t>
        </is>
      </c>
      <c r="G42" s="4" t="inlineStr">
        <is>
          <t>TC08</t>
        </is>
      </c>
      <c r="H42" s="4" t="inlineStr">
        <is>
          <t>npm run fixtures:spm30</t>
        </is>
      </c>
      <c r="I42" s="6" t="inlineStr">
        <is>
          <t>Jordan</t>
        </is>
      </c>
      <c r="J42" s="6" t="n"/>
      <c r="K42" s="5" t="n"/>
      <c r="L42" s="6" t="n"/>
      <c r="M42" s="6" t="inlineStr">
        <is>
          <t>Run before SPM-30-TC09, which continues from this case.</t>
        </is>
      </c>
    </row>
    <row r="43" ht="26.4" customHeight="1" s="18">
      <c r="A43" s="4" t="inlineStr">
        <is>
          <t>SPM-30-TC09</t>
        </is>
      </c>
      <c r="B43" s="4" t="inlineStr">
        <is>
          <t>SPM-30</t>
        </is>
      </c>
      <c r="C43" s="4" t="inlineStr">
        <is>
          <t>Assigned coordinator sees and can manage the event</t>
        </is>
      </c>
      <c r="D43" s="4" t="inlineStr">
        <is>
          <t>AC4</t>
        </is>
      </c>
      <c r="E43" s="4" t="inlineStr">
        <is>
          <t>Positive</t>
        </is>
      </c>
      <c r="F43" s="4" t="inlineStr">
        <is>
          <t>SPM-30_Test_Cases.xlsx</t>
        </is>
      </c>
      <c r="G43" s="4" t="inlineStr">
        <is>
          <t>TC09</t>
        </is>
      </c>
      <c r="H43" s="4" t="inlineStr">
        <is>
          <t>npm run fixtures:spm30</t>
        </is>
      </c>
      <c r="I43" s="6" t="inlineStr">
        <is>
          <t>Jordan</t>
        </is>
      </c>
      <c r="J43" s="6" t="n"/>
      <c r="K43" s="5" t="n"/>
      <c r="L43" s="6" t="n"/>
      <c r="M43" s="6" t="inlineStr">
        <is>
          <t>Run straight after SPM-30-TC08; do not reset the fixtures in between.</t>
        </is>
      </c>
    </row>
    <row r="44">
      <c r="A44" s="4" t="inlineStr">
        <is>
          <t>SPM-30-TC10</t>
        </is>
      </c>
      <c r="B44" s="4" t="inlineStr">
        <is>
          <t>SPM-30</t>
        </is>
      </c>
      <c r="C44" s="4" t="inlineStr">
        <is>
          <t>Owning organiser sees the assigned coordinator</t>
        </is>
      </c>
      <c r="D44" s="4" t="inlineStr">
        <is>
          <t>AC5</t>
        </is>
      </c>
      <c r="E44" s="4" t="inlineStr">
        <is>
          <t>Positive</t>
        </is>
      </c>
      <c r="F44" s="4" t="inlineStr">
        <is>
          <t>SPM-30_Test_Cases.xlsx</t>
        </is>
      </c>
      <c r="G44" s="4" t="inlineStr">
        <is>
          <t>TC10</t>
        </is>
      </c>
      <c r="H44" s="4" t="inlineStr">
        <is>
          <t>npm run fixtures:spm30</t>
        </is>
      </c>
      <c r="I44" s="6" t="inlineStr">
        <is>
          <t>Jordan</t>
        </is>
      </c>
      <c r="J44" s="6" t="n"/>
      <c r="K44" s="5" t="n"/>
      <c r="L44" s="6" t="n"/>
      <c r="M44" s="6" t="n"/>
    </row>
    <row r="45">
      <c r="A45" s="4" t="inlineStr">
        <is>
          <t>SPM-30-TC13</t>
        </is>
      </c>
      <c r="B45" s="4" t="inlineStr">
        <is>
          <t>SPM-30</t>
        </is>
      </c>
      <c r="C45" s="4" t="inlineStr">
        <is>
          <t>Ops Manager reassigns an event from the event page</t>
        </is>
      </c>
      <c r="D45" s="4" t="inlineStr">
        <is>
          <t>AC6, AC3</t>
        </is>
      </c>
      <c r="E45" s="4" t="inlineStr">
        <is>
          <t>Positive</t>
        </is>
      </c>
      <c r="F45" s="4" t="inlineStr">
        <is>
          <t>SPM-30_Test_Cases.xlsx</t>
        </is>
      </c>
      <c r="G45" s="4" t="inlineStr">
        <is>
          <t>TC13</t>
        </is>
      </c>
      <c r="H45" s="4" t="inlineStr">
        <is>
          <t>npm run fixtures:spm30</t>
        </is>
      </c>
      <c r="I45" s="6" t="inlineStr">
        <is>
          <t>Jordan</t>
        </is>
      </c>
      <c r="J45" s="6" t="n"/>
      <c r="K45" s="5" t="n"/>
      <c r="L45" s="6" t="n"/>
      <c r="M45" s="6" t="inlineStr">
        <is>
          <t>Run before SPM-30-TC14, which continues from this case.</t>
        </is>
      </c>
    </row>
    <row r="46" ht="26.4" customHeight="1" s="18">
      <c r="A46" s="4" t="inlineStr">
        <is>
          <t>SPM-30-TC14</t>
        </is>
      </c>
      <c r="B46" s="4" t="inlineStr">
        <is>
          <t>SPM-30</t>
        </is>
      </c>
      <c r="C46" s="4" t="inlineStr">
        <is>
          <t>After reassignment the previous coordinator loses access and the new one gains it</t>
        </is>
      </c>
      <c r="D46" s="4" t="inlineStr">
        <is>
          <t>AC6, AC4</t>
        </is>
      </c>
      <c r="E46" s="4" t="inlineStr">
        <is>
          <t>Positive</t>
        </is>
      </c>
      <c r="F46" s="4" t="inlineStr">
        <is>
          <t>SPM-30_Test_Cases.xlsx</t>
        </is>
      </c>
      <c r="G46" s="4" t="inlineStr">
        <is>
          <t>TC14</t>
        </is>
      </c>
      <c r="H46" s="4" t="inlineStr">
        <is>
          <t>npm run fixtures:spm30</t>
        </is>
      </c>
      <c r="I46" s="6" t="inlineStr">
        <is>
          <t>Jordan</t>
        </is>
      </c>
      <c r="J46" s="6" t="n"/>
      <c r="K46" s="5" t="n"/>
      <c r="L46" s="6" t="n"/>
      <c r="M46" s="6" t="inlineStr">
        <is>
          <t>Run straight after SPM-30-TC13; do not reset the fixtures in between.</t>
        </is>
      </c>
    </row>
    <row r="47" ht="26.4" customHeight="1" s="18">
      <c r="A47" s="4" t="inlineStr">
        <is>
          <t>SPM-54-TC01</t>
        </is>
      </c>
      <c r="B47" s="4" t="inlineStr">
        <is>
          <t>SPM-54</t>
        </is>
      </c>
      <c r="C47" s="4" t="inlineStr">
        <is>
          <t>Pressing Search on Find a venue for an Approved event moves it to Planning</t>
        </is>
      </c>
      <c r="D47" s="4" t="inlineStr">
        <is>
          <t>AC1, AC2</t>
        </is>
      </c>
      <c r="E47" s="4" t="inlineStr">
        <is>
          <t>Positive</t>
        </is>
      </c>
      <c r="F47" s="4" t="inlineStr">
        <is>
          <t>SPM-54_Test_Cases.xlsx</t>
        </is>
      </c>
      <c r="G47" s="4" t="inlineStr">
        <is>
          <t>TC01</t>
        </is>
      </c>
      <c r="H47" s="4" t="inlineStr">
        <is>
          <t>npm run fixtures:spm54</t>
        </is>
      </c>
      <c r="I47" s="6" t="inlineStr">
        <is>
          <t>Jordan</t>
        </is>
      </c>
      <c r="J47" s="6" t="n"/>
      <c r="K47" s="5" t="n"/>
      <c r="L47" s="6" t="n"/>
      <c r="M47" s="6" t="n"/>
    </row>
    <row r="48" ht="39.6" customHeight="1" s="18">
      <c r="A48" s="4" t="inlineStr">
        <is>
          <t>SPM-54-TC02</t>
        </is>
      </c>
      <c r="B48" s="4" t="inlineStr">
        <is>
          <t>SPM-54</t>
        </is>
      </c>
      <c r="C48" s="4" t="inlineStr">
        <is>
          <t>Organiser sees that their event has entered Planning</t>
        </is>
      </c>
      <c r="D48" s="4" t="inlineStr">
        <is>
          <t>AC4</t>
        </is>
      </c>
      <c r="E48" s="4" t="inlineStr">
        <is>
          <t>Positive</t>
        </is>
      </c>
      <c r="F48" s="4" t="inlineStr">
        <is>
          <t>SPM-54_Test_Cases.xlsx</t>
        </is>
      </c>
      <c r="G48" s="4" t="inlineStr">
        <is>
          <t>TC02</t>
        </is>
      </c>
      <c r="H48" s="4" t="inlineStr">
        <is>
          <t>npm run fixtures:spm54</t>
        </is>
      </c>
      <c r="I48" s="6" t="inlineStr">
        <is>
          <t>Jordan</t>
        </is>
      </c>
      <c r="J48" s="6" t="n"/>
      <c r="K48" s="5" t="n"/>
      <c r="L48" s="6" t="n"/>
      <c r="M48" s="6" t="n"/>
    </row>
    <row r="49">
      <c r="A49" s="4" t="inlineStr">
        <is>
          <t>SPM-54-TC04-R</t>
        </is>
      </c>
      <c r="B49" s="4" t="inlineStr">
        <is>
          <t>SPM-54</t>
        </is>
      </c>
      <c r="C49" s="4" t="inlineStr">
        <is>
          <t>Requesting a venue booking for an Approved event moves it to Planning</t>
        </is>
      </c>
      <c r="D49" s="4" t="inlineStr">
        <is>
          <t>AC1, AC3</t>
        </is>
      </c>
      <c r="E49" s="4" t="inlineStr">
        <is>
          <t>Positive</t>
        </is>
      </c>
      <c r="F49" s="4" t="inlineStr">
        <is>
          <t>This file</t>
        </is>
      </c>
      <c r="G49" s="4" t="inlineStr">
        <is>
          <t>Rewritten cases</t>
        </is>
      </c>
      <c r="H49" s="4" t="inlineStr">
        <is>
          <t>npm run fixtures:spm54</t>
        </is>
      </c>
      <c r="I49" s="6" t="inlineStr">
        <is>
          <t>Jordan</t>
        </is>
      </c>
      <c r="J49" s="6" t="n"/>
      <c r="K49" s="5" t="n"/>
      <c r="L49" s="6" t="n"/>
      <c r="M49" s="6" t="inlineStr">
        <is>
          <t>Rewritten for this run: SPM-54-TC04 in the story workbook is out of date (SPM-93, SPM-90, SPM-82).</t>
        </is>
      </c>
    </row>
    <row r="50">
      <c r="A50" s="4" t="inlineStr">
        <is>
          <t>SPM-33-TC01-R</t>
        </is>
      </c>
      <c r="B50" s="4" t="inlineStr">
        <is>
          <t>SPM-33</t>
        </is>
      </c>
      <c r="C50" s="4" t="inlineStr">
        <is>
          <t>Every venue booking, equipment line and the safety check are listed with their own status, and Confirm names everything outstanding, the safety check included</t>
        </is>
      </c>
      <c r="D50" s="4" t="inlineStr">
        <is>
          <t>AC1, AC2, AC3, AC6, AC7, AC9, AC11</t>
        </is>
      </c>
      <c r="E50" s="4" t="inlineStr">
        <is>
          <t>Positive</t>
        </is>
      </c>
      <c r="F50" s="4" t="inlineStr">
        <is>
          <t>This file</t>
        </is>
      </c>
      <c r="G50" s="4" t="inlineStr">
        <is>
          <t>Rewritten cases</t>
        </is>
      </c>
      <c r="H50" s="4" t="inlineStr">
        <is>
          <t>npm run fixtures:spm33</t>
        </is>
      </c>
      <c r="I50" s="6" t="inlineStr">
        <is>
          <t>Jordan</t>
        </is>
      </c>
      <c r="J50" s="6" t="n"/>
      <c r="K50" s="5" t="n"/>
      <c r="L50" s="6" t="n"/>
      <c r="M50" s="6" t="inlineStr">
        <is>
          <t>Rewritten for this run: SPM-33-TC01 in the story workbook is out of date (SPM-88).</t>
        </is>
      </c>
    </row>
    <row r="51" ht="26.4" customHeight="1" s="18">
      <c r="A51" s="4" t="inlineStr">
        <is>
          <t>SPM-33-TC05-R</t>
        </is>
      </c>
      <c r="B51" s="4" t="inlineStr">
        <is>
          <t>SPM-33</t>
        </is>
      </c>
      <c r="C51" s="4" t="inlineStr">
        <is>
          <t>A flagged venue booking and equipment reservation are shown as outstanding, with why, and prevent confirmation along with the safety check</t>
        </is>
      </c>
      <c r="D51" s="4" t="inlineStr">
        <is>
          <t>AC4, AC11</t>
        </is>
      </c>
      <c r="E51" s="4" t="inlineStr">
        <is>
          <t>Positive</t>
        </is>
      </c>
      <c r="F51" s="4" t="inlineStr">
        <is>
          <t>This file</t>
        </is>
      </c>
      <c r="G51" s="4" t="inlineStr">
        <is>
          <t>Rewritten cases</t>
        </is>
      </c>
      <c r="H51" s="4" t="inlineStr">
        <is>
          <t>npm run fixtures:spm33</t>
        </is>
      </c>
      <c r="I51" s="6" t="inlineStr">
        <is>
          <t>Jordan</t>
        </is>
      </c>
      <c r="J51" s="6" t="n"/>
      <c r="K51" s="5" t="n"/>
      <c r="L51" s="6" t="n"/>
      <c r="M51" s="6" t="inlineStr">
        <is>
          <t>Rewritten for this run: SPM-33-TC05 in the story workbook is out of date (SPM-88).</t>
        </is>
      </c>
    </row>
    <row r="52" ht="26.4" customHeight="1" s="18">
      <c r="A52" s="4" t="inlineStr">
        <is>
          <t>SPM-33-TC08-R</t>
        </is>
      </c>
      <c r="B52" s="4" t="inlineStr">
        <is>
          <t>SPM-33</t>
        </is>
      </c>
      <c r="C52" s="4" t="inlineStr">
        <is>
          <t>The assigned Coordinator marks an equipment line Technical Support cannot provide as not required</t>
        </is>
      </c>
      <c r="D52" s="4" t="inlineStr">
        <is>
          <t>AC8, AC10, AC7</t>
        </is>
      </c>
      <c r="E52" s="4" t="inlineStr">
        <is>
          <t>Positive</t>
        </is>
      </c>
      <c r="F52" s="4" t="inlineStr">
        <is>
          <t>This file</t>
        </is>
      </c>
      <c r="G52" s="4" t="inlineStr">
        <is>
          <t>Rewritten cases</t>
        </is>
      </c>
      <c r="H52" s="4" t="inlineStr">
        <is>
          <t>npm run fixtures:spm33</t>
        </is>
      </c>
      <c r="I52" s="6" t="inlineStr">
        <is>
          <t>Jordan</t>
        </is>
      </c>
      <c r="J52" s="6" t="n"/>
      <c r="K52" s="5" t="n"/>
      <c r="L52" s="6" t="n"/>
      <c r="M52" s="6" t="inlineStr">
        <is>
          <t>Run before SPM-33-TC09-R, which continues from this case. Rewritten for this run: SPM-33-TC08 in the story workbook is out of date (SPM-88).</t>
        </is>
      </c>
    </row>
    <row r="53" ht="26.4" customHeight="1" s="18">
      <c r="A53" s="4" t="inlineStr">
        <is>
          <t>SPM-33-TC09-R</t>
        </is>
      </c>
      <c r="B53" s="4" t="inlineStr">
        <is>
          <t>SPM-33</t>
        </is>
      </c>
      <c r="C53" s="4" t="inlineStr">
        <is>
          <t>The Coordinator reverses a not-required decision and the arrangement is outstanding again</t>
        </is>
      </c>
      <c r="D53" s="4" t="inlineStr">
        <is>
          <t>AC8</t>
        </is>
      </c>
      <c r="E53" s="4" t="inlineStr">
        <is>
          <t>Positive</t>
        </is>
      </c>
      <c r="F53" s="4" t="inlineStr">
        <is>
          <t>This file</t>
        </is>
      </c>
      <c r="G53" s="4" t="inlineStr">
        <is>
          <t>Rewritten cases</t>
        </is>
      </c>
      <c r="H53" s="4" t="inlineStr">
        <is>
          <t>npm run fixtures:spm33</t>
        </is>
      </c>
      <c r="I53" s="6" t="inlineStr">
        <is>
          <t>Jordan</t>
        </is>
      </c>
      <c r="J53" s="6" t="n"/>
      <c r="K53" s="5" t="n"/>
      <c r="L53" s="6" t="n"/>
      <c r="M53" s="6" t="inlineStr">
        <is>
          <t>Run straight after SPM-33-TC08-R; do not reset the fixtures in between. Rewritten for this run: SPM-33-TC09 in the story workbook is out of date (SPM-88).</t>
        </is>
      </c>
    </row>
    <row r="54" ht="26.4" customHeight="1" s="18">
      <c r="A54" s="4" t="inlineStr">
        <is>
          <t>SPM-33-TC12-R</t>
        </is>
      </c>
      <c r="B54" s="4" t="inlineStr">
        <is>
          <t>SPM-33</t>
        </is>
      </c>
      <c r="C54" s="4" t="inlineStr">
        <is>
          <t>Registration that is enabled but has no capacity is outstanding until it is marked as not required</t>
        </is>
      </c>
      <c r="D54" s="4" t="inlineStr">
        <is>
          <t>AC5, AC8</t>
        </is>
      </c>
      <c r="E54" s="4" t="inlineStr">
        <is>
          <t>Positive</t>
        </is>
      </c>
      <c r="F54" s="4" t="inlineStr">
        <is>
          <t>This file</t>
        </is>
      </c>
      <c r="G54" s="4" t="inlineStr">
        <is>
          <t>Rewritten cases</t>
        </is>
      </c>
      <c r="H54" s="4" t="inlineStr">
        <is>
          <t>npm run fixtures:spm33</t>
        </is>
      </c>
      <c r="I54" s="6" t="inlineStr">
        <is>
          <t>Jordan</t>
        </is>
      </c>
      <c r="J54" s="6" t="n"/>
      <c r="K54" s="5" t="n"/>
      <c r="L54" s="6" t="n"/>
      <c r="M54" s="6" t="inlineStr">
        <is>
          <t>Rewritten for this run: SPM-33-TC12 in the story workbook is out of date (SPM-88).</t>
        </is>
      </c>
    </row>
    <row r="55" ht="26.4" customHeight="1" s="18">
      <c r="A55" s="4" t="inlineStr">
        <is>
          <t>SPM-34-TC01-R</t>
        </is>
      </c>
      <c r="B55" s="4" t="inlineStr">
        <is>
          <t>SPM-34</t>
        </is>
      </c>
      <c r="C55" s="4" t="inlineStr">
        <is>
          <t>An event whose arrangements are all complete is confirmed once the Safety Officer has approved its safety check</t>
        </is>
      </c>
      <c r="D55" s="4" t="inlineStr">
        <is>
          <t>AC1, AC5</t>
        </is>
      </c>
      <c r="E55" s="4" t="inlineStr">
        <is>
          <t>Positive</t>
        </is>
      </c>
      <c r="F55" s="4" t="inlineStr">
        <is>
          <t>This file</t>
        </is>
      </c>
      <c r="G55" s="4" t="inlineStr">
        <is>
          <t>Rewritten cases</t>
        </is>
      </c>
      <c r="H55" s="4" t="inlineStr">
        <is>
          <t>npm run fixtures:spm34</t>
        </is>
      </c>
      <c r="I55" s="6" t="inlineStr">
        <is>
          <t>Jordan</t>
        </is>
      </c>
      <c r="J55" s="6" t="n"/>
      <c r="K55" s="5" t="n"/>
      <c r="L55" s="6" t="n"/>
      <c r="M55" s="6" t="inlineStr">
        <is>
          <t>Run before SPM-34-TC02-R, which continues from this case. Rewritten for this run: SPM-34-TC01 in the story workbook is out of date (SPM-86, SPM-87, SPM-88).</t>
        </is>
      </c>
    </row>
    <row r="56" ht="26.4" customHeight="1" s="18">
      <c r="A56" s="4" t="inlineStr">
        <is>
          <t>SPM-34-TC02-R</t>
        </is>
      </c>
      <c r="B56" s="4" t="inlineStr">
        <is>
          <t>SPM-34</t>
        </is>
      </c>
      <c r="C56" s="4" t="inlineStr">
        <is>
          <t>The venue and equipment stay attached to the event after it is confirmed</t>
        </is>
      </c>
      <c r="D56" s="4" t="inlineStr">
        <is>
          <t>AC6</t>
        </is>
      </c>
      <c r="E56" s="4" t="inlineStr">
        <is>
          <t>Positive</t>
        </is>
      </c>
      <c r="F56" s="4" t="inlineStr">
        <is>
          <t>This file</t>
        </is>
      </c>
      <c r="G56" s="4" t="inlineStr">
        <is>
          <t>Rewritten cases</t>
        </is>
      </c>
      <c r="H56" s="4" t="inlineStr">
        <is>
          <t>npm run fixtures:spm34</t>
        </is>
      </c>
      <c r="I56" s="6" t="inlineStr">
        <is>
          <t>Jordan</t>
        </is>
      </c>
      <c r="J56" s="6" t="n"/>
      <c r="K56" s="5" t="n"/>
      <c r="L56" s="6" t="n"/>
      <c r="M56" s="6" t="inlineStr">
        <is>
          <t>Run straight after SPM-34-TC01-R; do not reset the fixtures in between. Run before SPM-34-TC03-R, which continues from this case. Rewritten for this run: SPM-34-TC02 in the story workbook is out of date (SPM-88).</t>
        </is>
      </c>
    </row>
    <row r="57" ht="26.4" customHeight="1" s="18">
      <c r="A57" s="4" t="inlineStr">
        <is>
          <t>SPM-34-TC03-R</t>
        </is>
      </c>
      <c r="B57" s="4" t="inlineStr">
        <is>
          <t>SPM-34</t>
        </is>
      </c>
      <c r="C57" s="4" t="inlineStr">
        <is>
          <t>The Organiser can see the confirmed event and its arrangements</t>
        </is>
      </c>
      <c r="D57" s="4" t="inlineStr">
        <is>
          <t>AC7, AC5</t>
        </is>
      </c>
      <c r="E57" s="4" t="inlineStr">
        <is>
          <t>Positive</t>
        </is>
      </c>
      <c r="F57" s="4" t="inlineStr">
        <is>
          <t>This file</t>
        </is>
      </c>
      <c r="G57" s="4" t="inlineStr">
        <is>
          <t>Rewritten cases</t>
        </is>
      </c>
      <c r="H57" s="4" t="inlineStr">
        <is>
          <t>npm run fixtures:spm34</t>
        </is>
      </c>
      <c r="I57" s="6" t="inlineStr">
        <is>
          <t>Jordan</t>
        </is>
      </c>
      <c r="J57" s="6" t="n"/>
      <c r="K57" s="5" t="n"/>
      <c r="L57" s="6" t="n"/>
      <c r="M57" s="6" t="inlineStr">
        <is>
          <t>Run straight after SPM-34-TC02-R; do not reset the fixtures in between. Rewritten for this run: SPM-34-TC03 in the story workbook is out of date (SPM-88).</t>
        </is>
      </c>
    </row>
    <row r="58" ht="26.4" customHeight="1" s="18">
      <c r="A58" s="4" t="inlineStr">
        <is>
          <t>SPM-34-TC04-R</t>
        </is>
      </c>
      <c r="B58" s="4" t="inlineStr">
        <is>
          <t>SPM-34</t>
        </is>
      </c>
      <c r="C58" s="4" t="inlineStr">
        <is>
          <t>An event that needs no equipment is confirmed on its venue alone, once its safety check is approved</t>
        </is>
      </c>
      <c r="D58" s="4" t="inlineStr">
        <is>
          <t>AC2, AC1</t>
        </is>
      </c>
      <c r="E58" s="4" t="inlineStr">
        <is>
          <t>Positive</t>
        </is>
      </c>
      <c r="F58" s="4" t="inlineStr">
        <is>
          <t>This file</t>
        </is>
      </c>
      <c r="G58" s="4" t="inlineStr">
        <is>
          <t>Rewritten cases</t>
        </is>
      </c>
      <c r="H58" s="4" t="inlineStr">
        <is>
          <t>npm run fixtures:spm34</t>
        </is>
      </c>
      <c r="I58" s="6" t="inlineStr">
        <is>
          <t>Jordan</t>
        </is>
      </c>
      <c r="J58" s="6" t="n"/>
      <c r="K58" s="5" t="n"/>
      <c r="L58" s="6" t="n"/>
      <c r="M58" s="6" t="inlineStr">
        <is>
          <t>Rewritten for this run: SPM-34-TC04 in the story workbook is out of date (SPM-86, SPM-87, SPM-88).</t>
        </is>
      </c>
    </row>
    <row r="59" ht="26.4" customHeight="1" s="18">
      <c r="A59" s="4" t="inlineStr">
        <is>
          <t>SPM-64-TC01</t>
        </is>
      </c>
      <c r="B59" s="4" t="inlineStr">
        <is>
          <t>SPM-64</t>
        </is>
      </c>
      <c r="C59" s="4" t="inlineStr">
        <is>
          <t>The assigned coordinator turns registration on</t>
        </is>
      </c>
      <c r="D59" s="4" t="inlineStr">
        <is>
          <t>AC1</t>
        </is>
      </c>
      <c r="E59" s="4" t="inlineStr">
        <is>
          <t>Positive</t>
        </is>
      </c>
      <c r="F59" s="4" t="inlineStr">
        <is>
          <t>SPM-64_Test_Cases.xlsx</t>
        </is>
      </c>
      <c r="G59" s="4" t="inlineStr">
        <is>
          <t>TC01</t>
        </is>
      </c>
      <c r="H59" s="4" t="inlineStr">
        <is>
          <t>npm run fixtures:spm64</t>
        </is>
      </c>
      <c r="I59" s="6" t="inlineStr">
        <is>
          <t>Jordan</t>
        </is>
      </c>
      <c r="J59" s="6" t="n"/>
      <c r="K59" s="5" t="n"/>
      <c r="L59" s="6" t="n"/>
      <c r="M59" s="6" t="n"/>
    </row>
    <row r="60" ht="26.4" customHeight="1" s="18">
      <c r="A60" s="4" t="inlineStr">
        <is>
          <t>SPM-64-TC04</t>
        </is>
      </c>
      <c r="B60" s="4" t="inlineStr">
        <is>
          <t>SPM-64</t>
        </is>
      </c>
      <c r="C60" s="4" t="inlineStr">
        <is>
          <t>Setting a capacity on an event with one booking measures it against that booking automatically</t>
        </is>
      </c>
      <c r="D60" s="4" t="inlineStr">
        <is>
          <t>AC2, AC4</t>
        </is>
      </c>
      <c r="E60" s="4" t="inlineStr">
        <is>
          <t>Positive</t>
        </is>
      </c>
      <c r="F60" s="4" t="inlineStr">
        <is>
          <t>SPM-64_Test_Cases.xlsx</t>
        </is>
      </c>
      <c r="G60" s="4" t="inlineStr">
        <is>
          <t>TC04</t>
        </is>
      </c>
      <c r="H60" s="4" t="inlineStr">
        <is>
          <t>npm run fixtures:spm64</t>
        </is>
      </c>
      <c r="I60" s="6" t="inlineStr">
        <is>
          <t>Jordan</t>
        </is>
      </c>
      <c r="J60" s="6" t="n"/>
      <c r="K60" s="5" t="n"/>
      <c r="L60" s="6" t="n"/>
      <c r="M60" s="6" t="n"/>
    </row>
    <row r="61" ht="26.4" customHeight="1" s="18">
      <c r="A61" s="4" t="inlineStr">
        <is>
          <t>SPM-64-TC11</t>
        </is>
      </c>
      <c r="B61" s="4" t="inlineStr">
        <is>
          <t>SPM-64</t>
        </is>
      </c>
      <c r="C61" s="4" t="inlineStr">
        <is>
          <t>The registration period is set separately from the event's own date</t>
        </is>
      </c>
      <c r="D61" s="4" t="inlineStr">
        <is>
          <t>AC5</t>
        </is>
      </c>
      <c r="E61" s="4" t="inlineStr">
        <is>
          <t>Positive</t>
        </is>
      </c>
      <c r="F61" s="4" t="inlineStr">
        <is>
          <t>SPM-64_Test_Cases.xlsx</t>
        </is>
      </c>
      <c r="G61" s="4" t="inlineStr">
        <is>
          <t>TC11</t>
        </is>
      </c>
      <c r="H61" s="4" t="inlineStr">
        <is>
          <t>npm run fixtures:spm64</t>
        </is>
      </c>
      <c r="I61" s="6" t="inlineStr">
        <is>
          <t>Jordan</t>
        </is>
      </c>
      <c r="J61" s="6" t="n"/>
      <c r="K61" s="5" t="n"/>
      <c r="L61" s="6" t="n"/>
      <c r="M61" s="6" t="n"/>
    </row>
    <row r="62">
      <c r="A62" s="4" t="inlineStr">
        <is>
          <t>SPM-64-TC14</t>
        </is>
      </c>
      <c r="B62" s="4" t="inlineStr">
        <is>
          <t>SPM-64</t>
        </is>
      </c>
      <c r="C62" s="4" t="inlineStr">
        <is>
          <t>A registration period that has closed is reopened by moving its closing date later</t>
        </is>
      </c>
      <c r="D62" s="4" t="inlineStr">
        <is>
          <t>AC7</t>
        </is>
      </c>
      <c r="E62" s="4" t="inlineStr">
        <is>
          <t>Positive</t>
        </is>
      </c>
      <c r="F62" s="4" t="inlineStr">
        <is>
          <t>SPM-64_Test_Cases.xlsx</t>
        </is>
      </c>
      <c r="G62" s="4" t="inlineStr">
        <is>
          <t>TC14</t>
        </is>
      </c>
      <c r="H62" s="4" t="inlineStr">
        <is>
          <t>npm run fixtures:spm64</t>
        </is>
      </c>
      <c r="I62" s="6" t="inlineStr">
        <is>
          <t>Jordan</t>
        </is>
      </c>
      <c r="J62" s="6" t="n"/>
      <c r="K62" s="5" t="n"/>
      <c r="L62" s="6" t="n"/>
      <c r="M62" s="6" t="n"/>
    </row>
    <row r="63" ht="26.4" customHeight="1" s="18">
      <c r="A63" s="4" t="inlineStr">
        <is>
          <t>SPM-64-TC17-R</t>
        </is>
      </c>
      <c r="B63" s="4" t="inlineStr">
        <is>
          <t>SPM-64</t>
        </is>
      </c>
      <c r="C63" s="4" t="inlineStr">
        <is>
          <t>Registration that is turned off is not an outstanding arrangement, and the event is confirmed once its safety check is approved</t>
        </is>
      </c>
      <c r="D63" s="4" t="inlineStr">
        <is>
          <t>AC8</t>
        </is>
      </c>
      <c r="E63" s="4" t="inlineStr">
        <is>
          <t>Positive</t>
        </is>
      </c>
      <c r="F63" s="4" t="inlineStr">
        <is>
          <t>This file</t>
        </is>
      </c>
      <c r="G63" s="4" t="inlineStr">
        <is>
          <t>Rewritten cases</t>
        </is>
      </c>
      <c r="H63" s="4" t="inlineStr">
        <is>
          <t>npm run fixtures:spm64</t>
        </is>
      </c>
      <c r="I63" s="6" t="inlineStr">
        <is>
          <t>Jordan</t>
        </is>
      </c>
      <c r="J63" s="6" t="n"/>
      <c r="K63" s="5" t="n"/>
      <c r="L63" s="6" t="n"/>
      <c r="M63" s="6" t="inlineStr">
        <is>
          <t>Rewritten for this run: SPM-64-TC17 in the story workbook is out of date (SPM-86, SPM-87, SPM-88).</t>
        </is>
      </c>
    </row>
    <row r="64" ht="26.4" customHeight="1" s="18">
      <c r="A64" s="4" t="inlineStr">
        <is>
          <t>SPM-64-TC19</t>
        </is>
      </c>
      <c r="B64" s="4" t="inlineStr">
        <is>
          <t>SPM-64</t>
        </is>
      </c>
      <c r="C64" s="4" t="inlineStr">
        <is>
          <t>Lowering the capacity below the attendees holding a place saves it and flags the registrations</t>
        </is>
      </c>
      <c r="D64" s="4" t="inlineStr">
        <is>
          <t>AC9</t>
        </is>
      </c>
      <c r="E64" s="4" t="inlineStr">
        <is>
          <t>Positive</t>
        </is>
      </c>
      <c r="F64" s="4" t="inlineStr">
        <is>
          <t>SPM-64_Test_Cases.xlsx</t>
        </is>
      </c>
      <c r="G64" s="4" t="inlineStr">
        <is>
          <t>TC19</t>
        </is>
      </c>
      <c r="H64" s="4" t="inlineStr">
        <is>
          <t>npm run fixtures:spm64</t>
        </is>
      </c>
      <c r="I64" s="6" t="inlineStr">
        <is>
          <t>Jordan</t>
        </is>
      </c>
      <c r="J64" s="6" t="n"/>
      <c r="K64" s="5" t="n"/>
      <c r="L64" s="6" t="n"/>
      <c r="M64" s="6" t="n"/>
    </row>
    <row r="65" ht="26.4" customHeight="1" s="18">
      <c r="A65" s="4" t="inlineStr">
        <is>
          <t>SPM-64-TC23</t>
        </is>
      </c>
      <c r="B65" s="4" t="inlineStr">
        <is>
          <t>SPM-64</t>
        </is>
      </c>
      <c r="C65" s="4" t="inlineStr">
        <is>
          <t>The organiser and a colleague from their company see the settings but can't change them</t>
        </is>
      </c>
      <c r="D65" s="4" t="inlineStr">
        <is>
          <t>AC10</t>
        </is>
      </c>
      <c r="E65" s="4" t="inlineStr">
        <is>
          <t>Positive</t>
        </is>
      </c>
      <c r="F65" s="4" t="inlineStr">
        <is>
          <t>SPM-64_Test_Cases.xlsx</t>
        </is>
      </c>
      <c r="G65" s="4" t="inlineStr">
        <is>
          <t>TC23</t>
        </is>
      </c>
      <c r="H65" s="4" t="inlineStr">
        <is>
          <t>npm run fixtures:spm64</t>
        </is>
      </c>
      <c r="I65" s="6" t="inlineStr">
        <is>
          <t>Jordan</t>
        </is>
      </c>
      <c r="J65" s="6" t="n"/>
      <c r="K65" s="5" t="n"/>
      <c r="L65" s="6" t="n"/>
      <c r="M65" s="6" t="n"/>
    </row>
    <row r="66">
      <c r="A66" s="4" t="inlineStr">
        <is>
          <t>SPM-51-TC01</t>
        </is>
      </c>
      <c r="B66" s="4" t="inlineStr">
        <is>
          <t>SPM-51</t>
        </is>
      </c>
      <c r="C66" s="4" t="inlineStr">
        <is>
          <t>Browse Events lists the Confirmed events with registration enabled, each with its registration state</t>
        </is>
      </c>
      <c r="D66" s="4" t="inlineStr">
        <is>
          <t>AC1</t>
        </is>
      </c>
      <c r="E66" s="4" t="inlineStr">
        <is>
          <t>Positive</t>
        </is>
      </c>
      <c r="F66" s="4" t="inlineStr">
        <is>
          <t>SPM-51_Test_Cases.xlsx</t>
        </is>
      </c>
      <c r="G66" s="4" t="inlineStr">
        <is>
          <t>TC01</t>
        </is>
      </c>
      <c r="H66" s="4" t="inlineStr">
        <is>
          <t>npm run fixtures:spm51</t>
        </is>
      </c>
      <c r="I66" s="6" t="inlineStr">
        <is>
          <t>Jordan</t>
        </is>
      </c>
      <c r="J66" s="6" t="n"/>
      <c r="K66" s="6" t="n"/>
      <c r="L66" s="6" t="n"/>
      <c r="M66" s="6" t="n"/>
    </row>
    <row r="67">
      <c r="A67" s="4" t="inlineStr">
        <is>
          <t>SPM-51-TC02</t>
        </is>
      </c>
      <c r="B67" s="4" t="inlineStr">
        <is>
          <t>SPM-51</t>
        </is>
      </c>
      <c r="C67" s="4" t="inlineStr">
        <is>
          <t>An attendee registers for an eligible event, and the registration is kept</t>
        </is>
      </c>
      <c r="D67" s="4" t="inlineStr">
        <is>
          <t>AC2, AC5</t>
        </is>
      </c>
      <c r="E67" s="4" t="inlineStr">
        <is>
          <t>Positive</t>
        </is>
      </c>
      <c r="F67" s="4" t="inlineStr">
        <is>
          <t>SPM-51_Test_Cases.xlsx</t>
        </is>
      </c>
      <c r="G67" s="4" t="inlineStr">
        <is>
          <t>TC02</t>
        </is>
      </c>
      <c r="H67" s="4" t="inlineStr">
        <is>
          <t>npm run fixtures:spm51</t>
        </is>
      </c>
      <c r="I67" s="6" t="inlineStr">
        <is>
          <t>Jordan</t>
        </is>
      </c>
      <c r="J67" s="6" t="n"/>
      <c r="K67" s="6" t="n"/>
      <c r="L67" s="6" t="n"/>
      <c r="M67" s="6" t="n"/>
    </row>
    <row r="68">
      <c r="A68" s="4" t="inlineStr">
        <is>
          <t>SPM-51-TC11</t>
        </is>
      </c>
      <c r="B68" s="4" t="inlineStr">
        <is>
          <t>SPM-51</t>
        </is>
      </c>
      <c r="C68" s="4" t="inlineStr">
        <is>
          <t>My Registrations lists the attendee's registrations with their status</t>
        </is>
      </c>
      <c r="D68" s="4" t="inlineStr">
        <is>
          <t>AC6</t>
        </is>
      </c>
      <c r="E68" s="4" t="inlineStr">
        <is>
          <t>Positive</t>
        </is>
      </c>
      <c r="F68" s="4" t="inlineStr">
        <is>
          <t>SPM-51_Test_Cases.xlsx</t>
        </is>
      </c>
      <c r="G68" s="4" t="inlineStr">
        <is>
          <t>TC11</t>
        </is>
      </c>
      <c r="H68" s="4" t="inlineStr">
        <is>
          <t>npm run fixtures:spm51</t>
        </is>
      </c>
      <c r="I68" s="6" t="inlineStr">
        <is>
          <t>Jordan</t>
        </is>
      </c>
      <c r="J68" s="6" t="n"/>
      <c r="K68" s="6" t="n"/>
      <c r="L68" s="6" t="n"/>
      <c r="M68" s="6" t="n"/>
    </row>
    <row r="69">
      <c r="A69" s="4" t="inlineStr">
        <is>
          <t>SPM-39-TC01</t>
        </is>
      </c>
      <c r="B69" s="4" t="inlineStr">
        <is>
          <t>SPM-39</t>
        </is>
      </c>
      <c r="C69" s="4" t="inlineStr">
        <is>
          <t>Venue Staff can create a venue record</t>
        </is>
      </c>
      <c r="D69" s="4" t="inlineStr">
        <is>
          <t>AC1</t>
        </is>
      </c>
      <c r="E69" s="4" t="inlineStr">
        <is>
          <t>Positive</t>
        </is>
      </c>
      <c r="F69" s="4" t="inlineStr">
        <is>
          <t>SPM-39_Test_Cases.xlsx</t>
        </is>
      </c>
      <c r="G69" s="4" t="inlineStr">
        <is>
          <t>TC01</t>
        </is>
      </c>
      <c r="H69" s="4" t="inlineStr">
        <is>
          <t>Base seed data</t>
        </is>
      </c>
      <c r="I69" s="6" t="inlineStr">
        <is>
          <t>Janelle</t>
        </is>
      </c>
      <c r="J69" s="6" t="n"/>
      <c r="K69" s="6" t="n"/>
      <c r="L69" s="6" t="n"/>
      <c r="M69" s="6" t="n"/>
    </row>
    <row r="70">
      <c r="A70" s="4" t="inlineStr">
        <is>
          <t>SPM-39-TC05</t>
        </is>
      </c>
      <c r="B70" s="4" t="inlineStr">
        <is>
          <t>SPM-39</t>
        </is>
      </c>
      <c r="C70" s="4" t="inlineStr">
        <is>
          <t>Location, capacity, facilities and accessibility are all recorded and persist</t>
        </is>
      </c>
      <c r="D70" s="4" t="inlineStr">
        <is>
          <t>AC2</t>
        </is>
      </c>
      <c r="E70" s="4" t="inlineStr">
        <is>
          <t>Positive</t>
        </is>
      </c>
      <c r="F70" s="4" t="inlineStr">
        <is>
          <t>SPM-39_Test_Cases.xlsx</t>
        </is>
      </c>
      <c r="G70" s="4" t="inlineStr">
        <is>
          <t>TC05</t>
        </is>
      </c>
      <c r="H70" s="4" t="inlineStr">
        <is>
          <t>Base seed data</t>
        </is>
      </c>
      <c r="I70" s="6" t="inlineStr">
        <is>
          <t>Janelle</t>
        </is>
      </c>
      <c r="J70" s="6" t="n"/>
      <c r="K70" s="6" t="n"/>
      <c r="L70" s="6" t="n"/>
      <c r="M70" s="6" t="n"/>
    </row>
    <row r="71">
      <c r="A71" s="4" t="inlineStr">
        <is>
          <t>SPM-39-TC07</t>
        </is>
      </c>
      <c r="B71" s="4" t="inlineStr">
        <is>
          <t>SPM-39</t>
        </is>
      </c>
      <c r="C71" s="4" t="inlineStr">
        <is>
          <t>Several layouts are recorded, each with its own capacity</t>
        </is>
      </c>
      <c r="D71" s="4" t="inlineStr">
        <is>
          <t>AC3</t>
        </is>
      </c>
      <c r="E71" s="4" t="inlineStr">
        <is>
          <t>Positive</t>
        </is>
      </c>
      <c r="F71" s="4" t="inlineStr">
        <is>
          <t>SPM-39_Test_Cases.xlsx</t>
        </is>
      </c>
      <c r="G71" s="4" t="inlineStr">
        <is>
          <t>TC07</t>
        </is>
      </c>
      <c r="H71" s="4" t="inlineStr">
        <is>
          <t>Base seed data</t>
        </is>
      </c>
      <c r="I71" s="6" t="inlineStr">
        <is>
          <t>Janelle</t>
        </is>
      </c>
      <c r="J71" s="6" t="n"/>
      <c r="K71" s="6" t="n"/>
      <c r="L71" s="6" t="n"/>
      <c r="M71" s="6" t="n"/>
    </row>
    <row r="72">
      <c r="A72" s="4" t="inlineStr">
        <is>
          <t>SPM-39-TC10</t>
        </is>
      </c>
      <c r="B72" s="4" t="inlineStr">
        <is>
          <t>SPM-39</t>
        </is>
      </c>
      <c r="C72" s="4" t="inlineStr">
        <is>
          <t>Opening hours and turnaround times are recorded</t>
        </is>
      </c>
      <c r="D72" s="4" t="inlineStr">
        <is>
          <t>AC4</t>
        </is>
      </c>
      <c r="E72" s="4" t="inlineStr">
        <is>
          <t>Positive</t>
        </is>
      </c>
      <c r="F72" s="4" t="inlineStr">
        <is>
          <t>SPM-39_Test_Cases.xlsx</t>
        </is>
      </c>
      <c r="G72" s="4" t="inlineStr">
        <is>
          <t>TC10</t>
        </is>
      </c>
      <c r="H72" s="4" t="inlineStr">
        <is>
          <t>Base seed data</t>
        </is>
      </c>
      <c r="I72" s="6" t="inlineStr">
        <is>
          <t>Janelle</t>
        </is>
      </c>
      <c r="J72" s="6" t="n"/>
      <c r="K72" s="6" t="n"/>
      <c r="L72" s="6" t="n"/>
      <c r="M72" s="6" t="n"/>
    </row>
    <row r="73">
      <c r="A73" s="4" t="inlineStr">
        <is>
          <t>SPM-39-TC13</t>
        </is>
      </c>
      <c r="B73" s="4" t="inlineStr">
        <is>
          <t>SPM-39</t>
        </is>
      </c>
      <c r="C73" s="4" t="inlineStr">
        <is>
          <t>Venue Staff can update an existing venue</t>
        </is>
      </c>
      <c r="D73" s="4" t="inlineStr">
        <is>
          <t>AC5</t>
        </is>
      </c>
      <c r="E73" s="4" t="inlineStr">
        <is>
          <t>Positive</t>
        </is>
      </c>
      <c r="F73" s="4" t="inlineStr">
        <is>
          <t>SPM-39_Test_Cases.xlsx</t>
        </is>
      </c>
      <c r="G73" s="4" t="inlineStr">
        <is>
          <t>TC13</t>
        </is>
      </c>
      <c r="H73" s="4" t="inlineStr">
        <is>
          <t>Base seed data</t>
        </is>
      </c>
      <c r="I73" s="6" t="inlineStr">
        <is>
          <t>Janelle</t>
        </is>
      </c>
      <c r="J73" s="6" t="n"/>
      <c r="K73" s="6" t="n"/>
      <c r="L73" s="6" t="n"/>
      <c r="M73" s="6" t="n"/>
    </row>
    <row r="74">
      <c r="A74" s="4" t="inlineStr">
        <is>
          <t>SPM-39-TC15</t>
        </is>
      </c>
      <c r="B74" s="4" t="inlineStr">
        <is>
          <t>SPM-39</t>
        </is>
      </c>
      <c r="C74" s="4" t="inlineStr">
        <is>
          <t>A retired venue is no longer offered to a Coordinator</t>
        </is>
      </c>
      <c r="D74" s="4" t="inlineStr">
        <is>
          <t>AC6</t>
        </is>
      </c>
      <c r="E74" s="4" t="inlineStr">
        <is>
          <t>Positive</t>
        </is>
      </c>
      <c r="F74" s="4" t="inlineStr">
        <is>
          <t>SPM-39_Test_Cases.xlsx</t>
        </is>
      </c>
      <c r="G74" s="4" t="inlineStr">
        <is>
          <t>TC15</t>
        </is>
      </c>
      <c r="H74" s="4" t="inlineStr">
        <is>
          <t>Base seed data</t>
        </is>
      </c>
      <c r="I74" s="6" t="inlineStr">
        <is>
          <t>Janelle</t>
        </is>
      </c>
      <c r="J74" s="6" t="n"/>
      <c r="K74" s="6" t="n"/>
      <c r="L74" s="6" t="n"/>
      <c r="M74" s="6" t="n"/>
    </row>
    <row r="75">
      <c r="A75" s="4" t="inlineStr">
        <is>
          <t>SPM-39-TC17</t>
        </is>
      </c>
      <c r="B75" s="4" t="inlineStr">
        <is>
          <t>SPM-39</t>
        </is>
      </c>
      <c r="C75" s="4" t="inlineStr">
        <is>
          <t>Reducing a layout below an approved booking's attendance flags that booking</t>
        </is>
      </c>
      <c r="D75" s="4" t="inlineStr">
        <is>
          <t>AC7</t>
        </is>
      </c>
      <c r="E75" s="4" t="inlineStr">
        <is>
          <t>Positive</t>
        </is>
      </c>
      <c r="F75" s="4" t="inlineStr">
        <is>
          <t>SPM-39_Test_Cases.xlsx</t>
        </is>
      </c>
      <c r="G75" s="4" t="inlineStr">
        <is>
          <t>TC17</t>
        </is>
      </c>
      <c r="H75" s="4" t="inlineStr">
        <is>
          <t>Base seed data</t>
        </is>
      </c>
      <c r="I75" s="6" t="inlineStr">
        <is>
          <t>Janelle</t>
        </is>
      </c>
      <c r="J75" s="6" t="n"/>
      <c r="K75" s="6" t="n"/>
      <c r="L75" s="6" t="n"/>
      <c r="M75" s="6" t="n"/>
    </row>
    <row r="76">
      <c r="A76" s="4" t="inlineStr">
        <is>
          <t>SPM-40-TC13</t>
        </is>
      </c>
      <c r="B76" s="4" t="inlineStr">
        <is>
          <t>SPM-40</t>
        </is>
      </c>
      <c r="C76" s="4" t="inlineStr">
        <is>
          <t>All six filters combined, then Clear filters</t>
        </is>
      </c>
      <c r="D76" s="4" t="inlineStr">
        <is>
          <t>AC1, AC2, AC3, AC4, AC5, AC6, AC7</t>
        </is>
      </c>
      <c r="E76" s="4" t="inlineStr">
        <is>
          <t>Positive</t>
        </is>
      </c>
      <c r="F76" s="4" t="inlineStr">
        <is>
          <t>SPM-40_Test_Cases.xlsx</t>
        </is>
      </c>
      <c r="G76" s="4" t="inlineStr">
        <is>
          <t>TC13</t>
        </is>
      </c>
      <c r="H76" s="4" t="inlineStr">
        <is>
          <t>Base seed data</t>
        </is>
      </c>
      <c r="I76" s="6" t="inlineStr">
        <is>
          <t>Janelle</t>
        </is>
      </c>
      <c r="J76" s="6" t="n"/>
      <c r="K76" s="6" t="n"/>
      <c r="L76" s="6" t="n"/>
      <c r="M76" s="6" t="n"/>
    </row>
    <row r="77">
      <c r="A77" s="4" t="inlineStr">
        <is>
          <t>SPM-41-TC05</t>
        </is>
      </c>
      <c r="B77" s="4" t="inlineStr">
        <is>
          <t>SPM-41</t>
        </is>
      </c>
      <c r="C77" s="4" t="inlineStr">
        <is>
          <t>The same attendance gets a different result under a different layout</t>
        </is>
      </c>
      <c r="D77" s="4" t="inlineStr">
        <is>
          <t>AC1, AC4</t>
        </is>
      </c>
      <c r="E77" s="4" t="inlineStr">
        <is>
          <t>Positive</t>
        </is>
      </c>
      <c r="F77" s="4" t="inlineStr">
        <is>
          <t>SPM-41_Test_Cases.xlsx</t>
        </is>
      </c>
      <c r="G77" s="4" t="inlineStr">
        <is>
          <t>TC05</t>
        </is>
      </c>
      <c r="H77" s="4" t="inlineStr">
        <is>
          <t>Base seed data</t>
        </is>
      </c>
      <c r="I77" s="6" t="inlineStr">
        <is>
          <t>Janelle</t>
        </is>
      </c>
      <c r="J77" s="6" t="n"/>
      <c r="K77" s="6" t="n"/>
      <c r="L77" s="6" t="n"/>
      <c r="M77" s="6" t="n"/>
    </row>
    <row r="78">
      <c r="A78" s="4" t="inlineStr">
        <is>
          <t>SPM-41-TC06</t>
        </is>
      </c>
      <c r="B78" s="4" t="inlineStr">
        <is>
          <t>SPM-41</t>
        </is>
      </c>
      <c r="C78" s="4" t="inlineStr">
        <is>
          <t>Venue with all required facilities is suitable</t>
        </is>
      </c>
      <c r="D78" s="4" t="inlineStr">
        <is>
          <t>AC2</t>
        </is>
      </c>
      <c r="E78" s="4" t="inlineStr">
        <is>
          <t>Positive</t>
        </is>
      </c>
      <c r="F78" s="4" t="inlineStr">
        <is>
          <t>SPM-41_Test_Cases.xlsx</t>
        </is>
      </c>
      <c r="G78" s="4" t="inlineStr">
        <is>
          <t>TC06</t>
        </is>
      </c>
      <c r="H78" s="4" t="inlineStr">
        <is>
          <t>Base seed data</t>
        </is>
      </c>
      <c r="I78" s="6" t="inlineStr">
        <is>
          <t>Janelle</t>
        </is>
      </c>
      <c r="J78" s="6" t="n"/>
      <c r="K78" s="6" t="n"/>
      <c r="L78" s="6" t="n"/>
      <c r="M78" s="6" t="n"/>
    </row>
    <row r="79">
      <c r="A79" s="4" t="inlineStr">
        <is>
          <t>SPM-41-TC09</t>
        </is>
      </c>
      <c r="B79" s="4" t="inlineStr">
        <is>
          <t>SPM-41</t>
        </is>
      </c>
      <c r="C79" s="4" t="inlineStr">
        <is>
          <t>Venue with all required accessibility features is suitable</t>
        </is>
      </c>
      <c r="D79" s="4" t="inlineStr">
        <is>
          <t>AC3</t>
        </is>
      </c>
      <c r="E79" s="4" t="inlineStr">
        <is>
          <t>Positive</t>
        </is>
      </c>
      <c r="F79" s="4" t="inlineStr">
        <is>
          <t>SPM-41_Test_Cases.xlsx</t>
        </is>
      </c>
      <c r="G79" s="4" t="inlineStr">
        <is>
          <t>TC09</t>
        </is>
      </c>
      <c r="H79" s="4" t="inlineStr">
        <is>
          <t>Base seed data</t>
        </is>
      </c>
      <c r="I79" s="6" t="inlineStr">
        <is>
          <t>Janelle</t>
        </is>
      </c>
      <c r="J79" s="6" t="n"/>
      <c r="K79" s="6" t="n"/>
      <c r="L79" s="6" t="n"/>
      <c r="M79" s="6" t="n"/>
    </row>
    <row r="80">
      <c r="A80" s="4" t="inlineStr">
        <is>
          <t>SPM-45-TC01</t>
        </is>
      </c>
      <c r="B80" s="4" t="inlineStr">
        <is>
          <t>SPM-45</t>
        </is>
      </c>
      <c r="C80" s="4" t="inlineStr">
        <is>
          <t>A venue is marked unavailable for part of a day, by date and time, with a reason</t>
        </is>
      </c>
      <c r="D80" s="4" t="inlineStr">
        <is>
          <t>AC1, AC6</t>
        </is>
      </c>
      <c r="E80" s="4" t="inlineStr">
        <is>
          <t>Positive</t>
        </is>
      </c>
      <c r="F80" s="4" t="inlineStr">
        <is>
          <t>SPM-45_Test_Cases.xlsx</t>
        </is>
      </c>
      <c r="G80" s="4" t="inlineStr">
        <is>
          <t>TC01</t>
        </is>
      </c>
      <c r="H80" s="4" t="inlineStr">
        <is>
          <t>npm run fixtures:spm45</t>
        </is>
      </c>
      <c r="I80" s="6" t="inlineStr">
        <is>
          <t>Janelle</t>
        </is>
      </c>
      <c r="J80" s="6" t="n"/>
      <c r="K80" s="6" t="n"/>
      <c r="L80" s="6" t="n"/>
      <c r="M80" s="6" t="n"/>
    </row>
    <row r="81">
      <c r="A81" s="4" t="inlineStr">
        <is>
          <t>SPM-45-TC07</t>
        </is>
      </c>
      <c r="B81" s="4" t="inlineStr">
        <is>
          <t>SPM-45</t>
        </is>
      </c>
      <c r="C81" s="4" t="inlineStr">
        <is>
          <t>A period with an Other reason is saved and shows what was typed</t>
        </is>
      </c>
      <c r="D81" s="4" t="inlineStr">
        <is>
          <t>AC6</t>
        </is>
      </c>
      <c r="E81" s="4" t="inlineStr">
        <is>
          <t>Positive</t>
        </is>
      </c>
      <c r="F81" s="4" t="inlineStr">
        <is>
          <t>SPM-45_Test_Cases.xlsx</t>
        </is>
      </c>
      <c r="G81" s="4" t="inlineStr">
        <is>
          <t>TC07</t>
        </is>
      </c>
      <c r="H81" s="4" t="inlineStr">
        <is>
          <t>npm run fixtures:spm45</t>
        </is>
      </c>
      <c r="I81" s="6" t="inlineStr">
        <is>
          <t>Janelle</t>
        </is>
      </c>
      <c r="J81" s="6" t="n"/>
      <c r="K81" s="6" t="n"/>
      <c r="L81" s="6" t="n"/>
      <c r="M81" s="6" t="inlineStr">
        <is>
          <t>Run before SPM-45-TC08, which continues from this case.</t>
        </is>
      </c>
    </row>
    <row r="82">
      <c r="A82" s="4" t="inlineStr">
        <is>
          <t>SPM-45-TC08</t>
        </is>
      </c>
      <c r="B82" s="4" t="inlineStr">
        <is>
          <t>SPM-45</t>
        </is>
      </c>
      <c r="C82" s="4" t="inlineStr">
        <is>
          <t>Changing a period's reason from Other to a listed one drops the typed reason</t>
        </is>
      </c>
      <c r="D82" s="4" t="inlineStr">
        <is>
          <t>AC5, AC6</t>
        </is>
      </c>
      <c r="E82" s="4" t="inlineStr">
        <is>
          <t>Positive</t>
        </is>
      </c>
      <c r="F82" s="4" t="inlineStr">
        <is>
          <t>SPM-45_Test_Cases.xlsx</t>
        </is>
      </c>
      <c r="G82" s="4" t="inlineStr">
        <is>
          <t>TC08</t>
        </is>
      </c>
      <c r="H82" s="4" t="inlineStr">
        <is>
          <t>npm run fixtures:spm45</t>
        </is>
      </c>
      <c r="I82" s="6" t="inlineStr">
        <is>
          <t>Janelle</t>
        </is>
      </c>
      <c r="J82" s="6" t="n"/>
      <c r="K82" s="6" t="n"/>
      <c r="L82" s="6" t="n"/>
      <c r="M82" s="6" t="inlineStr">
        <is>
          <t>Run straight after SPM-45-TC07; do not reset the fixtures in between.</t>
        </is>
      </c>
    </row>
    <row r="83">
      <c r="A83" s="4" t="inlineStr">
        <is>
          <t>SPM-45-TC17</t>
        </is>
      </c>
      <c r="B83" s="4" t="inlineStr">
        <is>
          <t>SPM-45</t>
        </is>
      </c>
      <c r="C83" s="4" t="inlineStr">
        <is>
          <t>A venue is available again from the stated time without anyone ending the period</t>
        </is>
      </c>
      <c r="D83" s="4" t="inlineStr">
        <is>
          <t>AC4</t>
        </is>
      </c>
      <c r="E83" s="4" t="inlineStr">
        <is>
          <t>Positive</t>
        </is>
      </c>
      <c r="F83" s="4" t="inlineStr">
        <is>
          <t>SPM-45_Test_Cases.xlsx</t>
        </is>
      </c>
      <c r="G83" s="4" t="inlineStr">
        <is>
          <t>TC17</t>
        </is>
      </c>
      <c r="H83" s="4" t="inlineStr">
        <is>
          <t>npm run fixtures:spm45</t>
        </is>
      </c>
      <c r="I83" s="6" t="inlineStr">
        <is>
          <t>Janelle</t>
        </is>
      </c>
      <c r="J83" s="6" t="n"/>
      <c r="K83" s="6" t="n"/>
      <c r="L83" s="6" t="n"/>
      <c r="M83" s="6" t="n"/>
    </row>
    <row r="84">
      <c r="A84" s="4" t="inlineStr">
        <is>
          <t>SPM-46-TC01-R</t>
        </is>
      </c>
      <c r="B84" s="4" t="inlineStr">
        <is>
          <t>SPM-46</t>
        </is>
      </c>
      <c r="C84" s="4" t="inlineStr">
        <is>
          <t>Open a venue's availability and read each day's schedule at its actual times</t>
        </is>
      </c>
      <c r="D84" s="4" t="inlineStr">
        <is>
          <t>AC1, AC2</t>
        </is>
      </c>
      <c r="E84" s="4" t="inlineStr">
        <is>
          <t>Positive</t>
        </is>
      </c>
      <c r="F84" s="4" t="inlineStr">
        <is>
          <t>This file</t>
        </is>
      </c>
      <c r="G84" s="4" t="inlineStr">
        <is>
          <t>Rewritten cases</t>
        </is>
      </c>
      <c r="H84" s="4" t="inlineStr">
        <is>
          <t>Base seed data</t>
        </is>
      </c>
      <c r="I84" s="6" t="inlineStr">
        <is>
          <t>Janelle</t>
        </is>
      </c>
      <c r="J84" s="6" t="n"/>
      <c r="K84" s="6" t="n"/>
      <c r="L84" s="6" t="n"/>
      <c r="M84" s="6" t="inlineStr">
        <is>
          <t>Rewritten for this run: SPM-46-TC01 in the story workbook is out of date (SPM-93).</t>
        </is>
      </c>
    </row>
    <row r="85">
      <c r="A85" s="4" t="inlineStr">
        <is>
          <t>SPM-46-TC09-R</t>
        </is>
      </c>
      <c r="B85" s="4" t="inlineStr">
        <is>
          <t>SPM-46</t>
        </is>
      </c>
      <c r="C85" s="4" t="inlineStr">
        <is>
          <t>Two overlapping unavailable periods are identified as overlapping</t>
        </is>
      </c>
      <c r="D85" s="4" t="inlineStr">
        <is>
          <t>AC5</t>
        </is>
      </c>
      <c r="E85" s="4" t="inlineStr">
        <is>
          <t>Positive</t>
        </is>
      </c>
      <c r="F85" s="4" t="inlineStr">
        <is>
          <t>This file</t>
        </is>
      </c>
      <c r="G85" s="4" t="inlineStr">
        <is>
          <t>Rewritten cases</t>
        </is>
      </c>
      <c r="H85" s="4" t="inlineStr">
        <is>
          <t>Base seed data</t>
        </is>
      </c>
      <c r="I85" s="6" t="inlineStr">
        <is>
          <t>Janelle</t>
        </is>
      </c>
      <c r="J85" s="6" t="n"/>
      <c r="K85" s="6" t="n"/>
      <c r="L85" s="6" t="n"/>
      <c r="M85" s="6" t="inlineStr">
        <is>
          <t>Rewritten for this run: SPM-46-TC09 in the story workbook is out of date (SPM-93).</t>
        </is>
      </c>
    </row>
    <row r="86">
      <c r="A86" s="4" t="inlineStr">
        <is>
          <t>SPM-46-TC10</t>
        </is>
      </c>
      <c r="B86" s="4" t="inlineStr">
        <is>
          <t>SPM-46</t>
        </is>
      </c>
      <c r="C86" s="4" t="inlineStr">
        <is>
          <t>An Event Coordinator and an Operations Manager can open the calendar</t>
        </is>
      </c>
      <c r="D86" s="4" t="inlineStr">
        <is>
          <t>AC6</t>
        </is>
      </c>
      <c r="E86" s="4" t="inlineStr">
        <is>
          <t>Positive</t>
        </is>
      </c>
      <c r="F86" s="4" t="inlineStr">
        <is>
          <t>SPM-46_Test_Cases.xlsx</t>
        </is>
      </c>
      <c r="G86" s="4" t="inlineStr">
        <is>
          <t>TC10</t>
        </is>
      </c>
      <c r="H86" s="4" t="inlineStr">
        <is>
          <t>Base seed data</t>
        </is>
      </c>
      <c r="I86" s="6" t="inlineStr">
        <is>
          <t>Janelle</t>
        </is>
      </c>
      <c r="J86" s="6" t="n"/>
      <c r="K86" s="6" t="n"/>
      <c r="L86" s="6" t="n"/>
      <c r="M86" s="6" t="n"/>
    </row>
    <row r="87">
      <c r="A87" s="4" t="inlineStr">
        <is>
          <t>SPM-46-TC12-R</t>
        </is>
      </c>
      <c r="B87" s="4" t="inlineStr">
        <is>
          <t>SPM-46</t>
        </is>
      </c>
      <c r="C87" s="4" t="inlineStr">
        <is>
          <t>An approved booking blocks its times, setup and turnaround, and is listed, even while its event is still in planning</t>
        </is>
      </c>
      <c r="D87" s="4" t="inlineStr">
        <is>
          <t>AC3, AC7</t>
        </is>
      </c>
      <c r="E87" s="4" t="inlineStr">
        <is>
          <t>Positive</t>
        </is>
      </c>
      <c r="F87" s="4" t="inlineStr">
        <is>
          <t>This file</t>
        </is>
      </c>
      <c r="G87" s="4" t="inlineStr">
        <is>
          <t>Rewritten cases</t>
        </is>
      </c>
      <c r="H87" s="4" t="inlineStr">
        <is>
          <t>Base seed data</t>
        </is>
      </c>
      <c r="I87" s="6" t="inlineStr">
        <is>
          <t>Janelle</t>
        </is>
      </c>
      <c r="J87" s="6" t="n"/>
      <c r="K87" s="6" t="n"/>
      <c r="L87" s="6" t="n"/>
      <c r="M87" s="6" t="inlineStr">
        <is>
          <t>Rewritten for this run: SPM-46-TC12 in the story workbook is out of date (SPM-93).</t>
        </is>
      </c>
    </row>
    <row r="88">
      <c r="A88" s="4" t="inlineStr">
        <is>
          <t>SPM-93-TC01</t>
        </is>
      </c>
      <c r="B88" s="4" t="inlineStr">
        <is>
          <t>SPM-93</t>
        </is>
      </c>
      <c r="C88" s="4" t="inlineStr">
        <is>
          <t>A request defaults to the event's times widened to the 15-minute grid, shows the setup and turnaround around them, and is sent as times, not slots</t>
        </is>
      </c>
      <c r="D88" s="4" t="inlineStr">
        <is>
          <t>AC1, AC2, AC6</t>
        </is>
      </c>
      <c r="E88" s="4" t="inlineStr">
        <is>
          <t>Positive</t>
        </is>
      </c>
      <c r="F88" s="4" t="inlineStr">
        <is>
          <t>SPM-93_Test_Cases.xlsx</t>
        </is>
      </c>
      <c r="G88" s="4" t="inlineStr">
        <is>
          <t>TC01</t>
        </is>
      </c>
      <c r="H88" s="4" t="inlineStr">
        <is>
          <t>npm run fixtures:spm93</t>
        </is>
      </c>
      <c r="I88" s="6" t="inlineStr">
        <is>
          <t>Janelle</t>
        </is>
      </c>
      <c r="J88" s="6" t="n"/>
      <c r="K88" s="6" t="n"/>
      <c r="L88" s="6" t="n"/>
      <c r="M88" s="6" t="n"/>
    </row>
    <row r="89">
      <c r="A89" s="4" t="inlineStr">
        <is>
          <t>SPM-93-TC05</t>
        </is>
      </c>
      <c r="B89" s="4" t="inlineStr">
        <is>
          <t>SPM-93</t>
        </is>
      </c>
      <c r="C89" s="4" t="inlineStr">
        <is>
          <t>The old lunch and dinner gaps (12:00–13:00 and 18:00–19:00) can be booked</t>
        </is>
      </c>
      <c r="D89" s="4" t="inlineStr">
        <is>
          <t>AC4, AC1</t>
        </is>
      </c>
      <c r="E89" s="4" t="inlineStr">
        <is>
          <t>Positive</t>
        </is>
      </c>
      <c r="F89" s="4" t="inlineStr">
        <is>
          <t>SPM-93_Test_Cases.xlsx</t>
        </is>
      </c>
      <c r="G89" s="4" t="inlineStr">
        <is>
          <t>TC05</t>
        </is>
      </c>
      <c r="H89" s="4" t="inlineStr">
        <is>
          <t>npm run fixtures:spm93</t>
        </is>
      </c>
      <c r="I89" s="6" t="inlineStr">
        <is>
          <t>Janelle</t>
        </is>
      </c>
      <c r="J89" s="6" t="n"/>
      <c r="K89" s="6" t="n"/>
      <c r="L89" s="6" t="n"/>
      <c r="M89" s="6" t="n"/>
    </row>
    <row r="90">
      <c r="A90" s="4" t="inlineStr">
        <is>
          <t>SPM-93-TC13</t>
        </is>
      </c>
      <c r="B90" s="4" t="inlineStr">
        <is>
          <t>SPM-93</t>
        </is>
      </c>
      <c r="C90" s="4" t="inlineStr">
        <is>
          <t>Venue Staff see a request's times and the room in use including setup and turnaround, on the card and in the approve dialog</t>
        </is>
      </c>
      <c r="D90" s="4" t="inlineStr">
        <is>
          <t>AC8</t>
        </is>
      </c>
      <c r="E90" s="4" t="inlineStr">
        <is>
          <t>Positive</t>
        </is>
      </c>
      <c r="F90" s="4" t="inlineStr">
        <is>
          <t>SPM-93_Test_Cases.xlsx</t>
        </is>
      </c>
      <c r="G90" s="4" t="inlineStr">
        <is>
          <t>TC13</t>
        </is>
      </c>
      <c r="H90" s="4" t="inlineStr">
        <is>
          <t>npm run fixtures:spm93</t>
        </is>
      </c>
      <c r="I90" s="6" t="inlineStr">
        <is>
          <t>Janelle</t>
        </is>
      </c>
      <c r="J90" s="6" t="n"/>
      <c r="K90" s="6" t="n"/>
      <c r="L90" s="6" t="n"/>
      <c r="M90" s="6" t="n"/>
    </row>
    <row r="91">
      <c r="A91" s="4" t="inlineStr">
        <is>
          <t>SPM-93-TC15</t>
        </is>
      </c>
      <c r="B91" s="4" t="inlineStr">
        <is>
          <t>SPM-93</t>
        </is>
      </c>
      <c r="C91" s="4" t="inlineStr">
        <is>
          <t>The availability calendar shows an approved booking and a pending hold at their actual times, with setup and turnaround as separate entries</t>
        </is>
      </c>
      <c r="D91" s="4" t="inlineStr">
        <is>
          <t>AC9</t>
        </is>
      </c>
      <c r="E91" s="4" t="inlineStr">
        <is>
          <t>Positive</t>
        </is>
      </c>
      <c r="F91" s="4" t="inlineStr">
        <is>
          <t>SPM-93_Test_Cases.xlsx</t>
        </is>
      </c>
      <c r="G91" s="4" t="inlineStr">
        <is>
          <t>TC15</t>
        </is>
      </c>
      <c r="H91" s="4" t="inlineStr">
        <is>
          <t>npm run fixtures:spm93</t>
        </is>
      </c>
      <c r="I91" s="6" t="inlineStr">
        <is>
          <t>Janelle</t>
        </is>
      </c>
      <c r="J91" s="6" t="n"/>
      <c r="K91" s="6" t="n"/>
      <c r="L91" s="6" t="n"/>
      <c r="M91" s="6" t="n"/>
    </row>
    <row r="92">
      <c r="A92" s="4" t="inlineStr">
        <is>
          <t>SPM-90-TC01</t>
        </is>
      </c>
      <c r="B92" s="4" t="inlineStr">
        <is>
          <t>SPM-90</t>
        </is>
      </c>
      <c r="C92" s="4" t="inlineStr">
        <is>
          <t>The first venue request for an event starts on the event's own attendance and layout, and is listed with what the space is for</t>
        </is>
      </c>
      <c r="D92" s="4" t="inlineStr">
        <is>
          <t>AC1, AC2, AC5</t>
        </is>
      </c>
      <c r="E92" s="4" t="inlineStr">
        <is>
          <t>Positive</t>
        </is>
      </c>
      <c r="F92" s="4" t="inlineStr">
        <is>
          <t>SPM-90_Test_Cases.xlsx</t>
        </is>
      </c>
      <c r="G92" s="4" t="inlineStr">
        <is>
          <t>TC01</t>
        </is>
      </c>
      <c r="H92" s="4" t="inlineStr">
        <is>
          <t>npm run fixtures:spm90</t>
        </is>
      </c>
      <c r="I92" s="6" t="inlineStr">
        <is>
          <t>Janelle</t>
        </is>
      </c>
      <c r="J92" s="6" t="n"/>
      <c r="K92" s="6" t="n"/>
      <c r="L92" s="6" t="n"/>
      <c r="M92" s="6" t="n"/>
    </row>
    <row r="93">
      <c r="A93" s="4" t="inlineStr">
        <is>
          <t>SPM-90-TC02</t>
        </is>
      </c>
      <c r="B93" s="4" t="inlineStr">
        <is>
          <t>SPM-90</t>
        </is>
      </c>
      <c r="C93" s="4" t="inlineStr">
        <is>
          <t>A breakout room too small for the whole event is suitable once it is checked against its own attendance and layout, and is requested and listed with its own purpose</t>
        </is>
      </c>
      <c r="D93" s="4" t="inlineStr">
        <is>
          <t>AC1, AC3, AC5</t>
        </is>
      </c>
      <c r="E93" s="4" t="inlineStr">
        <is>
          <t>Positive</t>
        </is>
      </c>
      <c r="F93" s="4" t="inlineStr">
        <is>
          <t>SPM-90_Test_Cases.xlsx</t>
        </is>
      </c>
      <c r="G93" s="4" t="inlineStr">
        <is>
          <t>TC02</t>
        </is>
      </c>
      <c r="H93" s="4" t="inlineStr">
        <is>
          <t>npm run fixtures:spm90</t>
        </is>
      </c>
      <c r="I93" s="6" t="inlineStr">
        <is>
          <t>Janelle</t>
        </is>
      </c>
      <c r="J93" s="6" t="n"/>
      <c r="K93" s="6" t="n"/>
      <c r="L93" s="6" t="n"/>
      <c r="M93" s="6" t="n"/>
    </row>
    <row r="94">
      <c r="A94" s="4" t="inlineStr">
        <is>
          <t>SPM-90-TC09-R</t>
        </is>
      </c>
      <c r="B94" s="4" t="inlineStr">
        <is>
          <t>SPM-90</t>
        </is>
      </c>
      <c r="C94" s="4" t="inlineStr">
        <is>
          <t>Once Venue Staff approve the last pending room and the safety check is approved, an event with two venue bookings can be confirmed</t>
        </is>
      </c>
      <c r="D94" s="4" t="inlineStr">
        <is>
          <t>AC6</t>
        </is>
      </c>
      <c r="E94" s="4" t="inlineStr">
        <is>
          <t>Positive</t>
        </is>
      </c>
      <c r="F94" s="4" t="inlineStr">
        <is>
          <t>This file</t>
        </is>
      </c>
      <c r="G94" s="4" t="inlineStr">
        <is>
          <t>Rewritten cases</t>
        </is>
      </c>
      <c r="H94" s="4" t="inlineStr">
        <is>
          <t>npm run fixtures:spm90</t>
        </is>
      </c>
      <c r="I94" s="6" t="inlineStr">
        <is>
          <t>Janelle</t>
        </is>
      </c>
      <c r="J94" s="6" t="n"/>
      <c r="K94" s="6" t="n"/>
      <c r="L94" s="6" t="n"/>
      <c r="M94" s="6" t="inlineStr">
        <is>
          <t>Rewritten for this run: SPM-90-TC09 in the story workbook is out of date (SPM-86, SPM-87, SPM-88).</t>
        </is>
      </c>
    </row>
    <row r="95">
      <c r="A95" s="4" t="inlineStr">
        <is>
          <t>SPM-90-TC10-R</t>
        </is>
      </c>
      <c r="B95" s="4" t="inlineStr">
        <is>
          <t>SPM-90</t>
        </is>
      </c>
      <c r="C95" s="4" t="inlineStr">
        <is>
          <t>An event with a single approved venue booking made before SPM-90 is listed without a purpose and is confirmed as before, once its safety check is approved</t>
        </is>
      </c>
      <c r="D95" s="4" t="inlineStr">
        <is>
          <t>AC7</t>
        </is>
      </c>
      <c r="E95" s="4" t="inlineStr">
        <is>
          <t>Positive</t>
        </is>
      </c>
      <c r="F95" s="4" t="inlineStr">
        <is>
          <t>This file</t>
        </is>
      </c>
      <c r="G95" s="4" t="inlineStr">
        <is>
          <t>Rewritten cases</t>
        </is>
      </c>
      <c r="H95" s="4" t="inlineStr">
        <is>
          <t>npm run fixtures:spm90</t>
        </is>
      </c>
      <c r="I95" s="6" t="inlineStr">
        <is>
          <t>Janelle</t>
        </is>
      </c>
      <c r="J95" s="6" t="n"/>
      <c r="K95" s="6" t="n"/>
      <c r="L95" s="6" t="n"/>
      <c r="M95" s="6" t="inlineStr">
        <is>
          <t>Rewritten for this run: SPM-90-TC10 in the story workbook is out of date (SPM-86, SPM-87, SPM-88).</t>
        </is>
      </c>
    </row>
    <row r="96">
      <c r="A96" s="4" t="inlineStr">
        <is>
          <t>SPM-71-TC01</t>
        </is>
      </c>
      <c r="B96" s="4" t="inlineStr">
        <is>
          <t>SPM-71</t>
        </is>
      </c>
      <c r="C96" s="4" t="inlineStr">
        <is>
          <t>A coordinator sees their five notifications newest first, each saying what happened, which event and when</t>
        </is>
      </c>
      <c r="D96" s="4" t="inlineStr">
        <is>
          <t>AC1, AC2, AC7</t>
        </is>
      </c>
      <c r="E96" s="4" t="inlineStr">
        <is>
          <t>Positive</t>
        </is>
      </c>
      <c r="F96" s="4" t="inlineStr">
        <is>
          <t>SPM-71_Test_Cases.xlsx</t>
        </is>
      </c>
      <c r="G96" s="4" t="inlineStr">
        <is>
          <t>TC01</t>
        </is>
      </c>
      <c r="H96" s="4" t="inlineStr">
        <is>
          <t>npm run fixtures:spm71</t>
        </is>
      </c>
      <c r="I96" s="6" t="inlineStr">
        <is>
          <t>Janelle</t>
        </is>
      </c>
      <c r="J96" s="6" t="n"/>
      <c r="K96" s="6" t="n"/>
      <c r="L96" s="6" t="n"/>
      <c r="M96" s="6" t="n"/>
    </row>
    <row r="97">
      <c r="A97" s="4" t="inlineStr">
        <is>
          <t>SPM-71-TC03</t>
        </is>
      </c>
      <c r="B97" s="4" t="inlineStr">
        <is>
          <t>SPM-71</t>
        </is>
      </c>
      <c r="C97" s="4" t="inlineStr">
        <is>
          <t>Marking one notification as read removes its Unread label and lowers the unread count</t>
        </is>
      </c>
      <c r="D97" s="4" t="inlineStr">
        <is>
          <t>AC3, AC4</t>
        </is>
      </c>
      <c r="E97" s="4" t="inlineStr">
        <is>
          <t>Positive</t>
        </is>
      </c>
      <c r="F97" s="4" t="inlineStr">
        <is>
          <t>SPM-71_Test_Cases.xlsx</t>
        </is>
      </c>
      <c r="G97" s="4" t="inlineStr">
        <is>
          <t>TC03</t>
        </is>
      </c>
      <c r="H97" s="4" t="inlineStr">
        <is>
          <t>npm run fixtures:spm71</t>
        </is>
      </c>
      <c r="I97" s="6" t="inlineStr">
        <is>
          <t>Janelle</t>
        </is>
      </c>
      <c r="J97" s="6" t="n"/>
      <c r="K97" s="6" t="n"/>
      <c r="L97" s="6" t="n"/>
      <c r="M97" s="6" t="inlineStr">
        <is>
          <t>Run before SPM-71-TC04, which continues from this case.</t>
        </is>
      </c>
    </row>
    <row r="98">
      <c r="A98" s="4" t="inlineStr">
        <is>
          <t>SPM-71-TC04</t>
        </is>
      </c>
      <c r="B98" s="4" t="inlineStr">
        <is>
          <t>SPM-71</t>
        </is>
      </c>
      <c r="C98" s="4" t="inlineStr">
        <is>
          <t>Mark all as read clears every unread notification and the count, and it stays that way after reloading</t>
        </is>
      </c>
      <c r="D98" s="4" t="inlineStr">
        <is>
          <t>AC3, AC4</t>
        </is>
      </c>
      <c r="E98" s="4" t="inlineStr">
        <is>
          <t>Positive</t>
        </is>
      </c>
      <c r="F98" s="4" t="inlineStr">
        <is>
          <t>SPM-71_Test_Cases.xlsx</t>
        </is>
      </c>
      <c r="G98" s="4" t="inlineStr">
        <is>
          <t>TC04</t>
        </is>
      </c>
      <c r="H98" s="4" t="inlineStr">
        <is>
          <t>npm run fixtures:spm71</t>
        </is>
      </c>
      <c r="I98" s="6" t="inlineStr">
        <is>
          <t>Janelle</t>
        </is>
      </c>
      <c r="J98" s="6" t="n"/>
      <c r="K98" s="6" t="n"/>
      <c r="L98" s="6" t="n"/>
      <c r="M98" s="6" t="inlineStr">
        <is>
          <t>Run straight after SPM-71-TC03; do not reset the fixtures in between.</t>
        </is>
      </c>
    </row>
    <row r="99">
      <c r="A99" s="4" t="inlineStr">
        <is>
          <t>SPM-71-TC05</t>
        </is>
      </c>
      <c r="B99" s="4" t="inlineStr">
        <is>
          <t>SPM-71</t>
        </is>
      </c>
      <c r="C99" s="4" t="inlineStr">
        <is>
          <t>Selecting a notification opens its event and marks it as read</t>
        </is>
      </c>
      <c r="D99" s="4" t="inlineStr">
        <is>
          <t>AC5, AC4</t>
        </is>
      </c>
      <c r="E99" s="4" t="inlineStr">
        <is>
          <t>Positive</t>
        </is>
      </c>
      <c r="F99" s="4" t="inlineStr">
        <is>
          <t>SPM-71_Test_Cases.xlsx</t>
        </is>
      </c>
      <c r="G99" s="4" t="inlineStr">
        <is>
          <t>TC05</t>
        </is>
      </c>
      <c r="H99" s="4" t="inlineStr">
        <is>
          <t>npm run fixtures:spm71</t>
        </is>
      </c>
      <c r="I99" s="6" t="inlineStr">
        <is>
          <t>Janelle</t>
        </is>
      </c>
      <c r="J99" s="6" t="n"/>
      <c r="K99" s="6" t="n"/>
      <c r="L99" s="6" t="n"/>
      <c r="M99" s="6" t="n"/>
    </row>
    <row r="100">
      <c r="A100" s="4" t="inlineStr">
        <is>
          <t>SPM-42-TC01-R</t>
        </is>
      </c>
      <c r="B100" s="4" t="inlineStr">
        <is>
          <t>SPM-42</t>
        </is>
      </c>
      <c r="C100" s="4" t="inlineStr">
        <is>
          <t>Coordinator requests a suitable venue at the event's own times, with venue requirements and layout</t>
        </is>
      </c>
      <c r="D100" s="4" t="inlineStr">
        <is>
          <t>AC1, AC6</t>
        </is>
      </c>
      <c r="E100" s="4" t="inlineStr">
        <is>
          <t>Positive</t>
        </is>
      </c>
      <c r="F100" s="4" t="inlineStr">
        <is>
          <t>This file</t>
        </is>
      </c>
      <c r="G100" s="4" t="inlineStr">
        <is>
          <t>Rewritten cases</t>
        </is>
      </c>
      <c r="H100" s="4" t="inlineStr">
        <is>
          <t>npm run fixtures:spm42</t>
        </is>
      </c>
      <c r="I100" s="6" t="inlineStr">
        <is>
          <t>Sammi</t>
        </is>
      </c>
      <c r="J100" s="6" t="n"/>
      <c r="K100" s="6" t="n"/>
      <c r="L100" s="6" t="n"/>
      <c r="M100" s="6" t="inlineStr">
        <is>
          <t>Rewritten for this run: SPM-42-TC01 in the story workbook is out of date (SPM-93, SPM-90).</t>
        </is>
      </c>
    </row>
    <row r="101">
      <c r="A101" s="4" t="inlineStr">
        <is>
          <t>SPM-42-TC04-R</t>
        </is>
      </c>
      <c r="B101" s="4" t="inlineStr">
        <is>
          <t>SPM-42</t>
        </is>
      </c>
      <c r="C101" s="4" t="inlineStr">
        <is>
          <t>An event with no sessions is requested on its own date and times, and the request is listed on the event</t>
        </is>
      </c>
      <c r="D101" s="4" t="inlineStr">
        <is>
          <t>AC2, AC4</t>
        </is>
      </c>
      <c r="E101" s="4" t="inlineStr">
        <is>
          <t>Positive</t>
        </is>
      </c>
      <c r="F101" s="4" t="inlineStr">
        <is>
          <t>This file</t>
        </is>
      </c>
      <c r="G101" s="4" t="inlineStr">
        <is>
          <t>Rewritten cases</t>
        </is>
      </c>
      <c r="H101" s="4" t="inlineStr">
        <is>
          <t>npm run fixtures:spm42</t>
        </is>
      </c>
      <c r="I101" s="6" t="inlineStr">
        <is>
          <t>Sammi</t>
        </is>
      </c>
      <c r="J101" s="6" t="n"/>
      <c r="K101" s="6" t="n"/>
      <c r="L101" s="6" t="n"/>
      <c r="M101" s="6" t="inlineStr">
        <is>
          <t>Run before SPM-42-TC11-R, which continues from this case. Rewritten for this run: SPM-42-TC04 in the story workbook is out of date (SPM-93, SPM-82).</t>
        </is>
      </c>
    </row>
    <row r="102">
      <c r="A102" s="4" t="inlineStr">
        <is>
          <t>SPM-42-TC11-R</t>
        </is>
      </c>
      <c r="B102" s="4" t="inlineStr">
        <is>
          <t>SPM-42</t>
        </is>
      </c>
      <c r="C102" s="4" t="inlineStr">
        <is>
          <t>The request reaches Venue Staff and shows Pending, with its times, setup, turnaround and hold expiry</t>
        </is>
      </c>
      <c r="D102" s="4" t="inlineStr">
        <is>
          <t>AC7, AC8</t>
        </is>
      </c>
      <c r="E102" s="4" t="inlineStr">
        <is>
          <t>Positive</t>
        </is>
      </c>
      <c r="F102" s="4" t="inlineStr">
        <is>
          <t>This file</t>
        </is>
      </c>
      <c r="G102" s="4" t="inlineStr">
        <is>
          <t>Rewritten cases</t>
        </is>
      </c>
      <c r="H102" s="4" t="inlineStr">
        <is>
          <t>npm run fixtures:spm42</t>
        </is>
      </c>
      <c r="I102" s="6" t="inlineStr">
        <is>
          <t>Sammi</t>
        </is>
      </c>
      <c r="J102" s="6" t="n"/>
      <c r="K102" s="6" t="n"/>
      <c r="L102" s="6" t="n"/>
      <c r="M102" s="6" t="inlineStr">
        <is>
          <t>Run straight after SPM-42-TC04-R; do not reset the fixtures in between. Rewritten for this run: SPM-42-TC11 in the story workbook is out of date (SPM-93, SPM-82, SPM-90).</t>
        </is>
      </c>
    </row>
    <row r="103">
      <c r="A103" s="4" t="inlineStr">
        <is>
          <t>SPM-42-TC09-R</t>
        </is>
      </c>
      <c r="B103" s="4" t="inlineStr">
        <is>
          <t>SPM-42</t>
        </is>
      </c>
      <c r="C103" s="4" t="inlineStr">
        <is>
          <t>Each session is requested at its own date, times and layout; a room whose setup and turnaround fall outside its opening hours is refused</t>
        </is>
      </c>
      <c r="D103" s="4" t="inlineStr">
        <is>
          <t>AC4, AC5</t>
        </is>
      </c>
      <c r="E103" s="4" t="inlineStr">
        <is>
          <t>Positive</t>
        </is>
      </c>
      <c r="F103" s="4" t="inlineStr">
        <is>
          <t>This file</t>
        </is>
      </c>
      <c r="G103" s="4" t="inlineStr">
        <is>
          <t>Rewritten cases</t>
        </is>
      </c>
      <c r="H103" s="4" t="inlineStr">
        <is>
          <t>npm run fixtures:spm42</t>
        </is>
      </c>
      <c r="I103" s="6" t="inlineStr">
        <is>
          <t>Sammi</t>
        </is>
      </c>
      <c r="J103" s="6" t="n"/>
      <c r="K103" s="6" t="n"/>
      <c r="L103" s="6" t="n"/>
      <c r="M103" s="6" t="inlineStr">
        <is>
          <t>Rewritten for this run: SPM-42-TC09 in the story workbook is out of date (SPM-93, SPM-54, SPM-90).</t>
        </is>
      </c>
    </row>
    <row r="104">
      <c r="A104" s="4" t="inlineStr">
        <is>
          <t>SPM-43-TC01-R</t>
        </is>
      </c>
      <c r="B104" s="4" t="inlineStr">
        <is>
          <t>SPM-43</t>
        </is>
      </c>
      <c r="C104" s="4" t="inlineStr">
        <is>
          <t>Venue Staff see each pending request with its venue, times, setup and turnaround, hold expiry and event details</t>
        </is>
      </c>
      <c r="D104" s="4" t="inlineStr">
        <is>
          <t>AC1, AC2</t>
        </is>
      </c>
      <c r="E104" s="4" t="inlineStr">
        <is>
          <t>Positive</t>
        </is>
      </c>
      <c r="F104" s="4" t="inlineStr">
        <is>
          <t>This file</t>
        </is>
      </c>
      <c r="G104" s="4" t="inlineStr">
        <is>
          <t>Rewritten cases</t>
        </is>
      </c>
      <c r="H104" s="4" t="inlineStr">
        <is>
          <t>npm run fixtures:spm43</t>
        </is>
      </c>
      <c r="I104" s="6" t="inlineStr">
        <is>
          <t>Sammi</t>
        </is>
      </c>
      <c r="J104" s="6" t="n"/>
      <c r="K104" s="6" t="n"/>
      <c r="L104" s="6" t="n"/>
      <c r="M104" s="6" t="inlineStr">
        <is>
          <t>Rewritten for this run: SPM-43-TC01 in the story workbook is out of date (SPM-93, SPM-82, SPM-90).</t>
        </is>
      </c>
    </row>
    <row r="105">
      <c r="A105" s="4" t="inlineStr">
        <is>
          <t>SPM-43-TC03-R</t>
        </is>
      </c>
      <c r="B105" s="4" t="inlineStr">
        <is>
          <t>SPM-43</t>
        </is>
      </c>
      <c r="C105" s="4" t="inlineStr">
        <is>
          <t>Approving a request books the room: it leaves the list, the calendar shows its setup, booked and turnaround times, and the Coordinator sees it Approved</t>
        </is>
      </c>
      <c r="D105" s="4" t="inlineStr">
        <is>
          <t>AC3, AC7</t>
        </is>
      </c>
      <c r="E105" s="4" t="inlineStr">
        <is>
          <t>Positive</t>
        </is>
      </c>
      <c r="F105" s="4" t="inlineStr">
        <is>
          <t>This file</t>
        </is>
      </c>
      <c r="G105" s="4" t="inlineStr">
        <is>
          <t>Rewritten cases</t>
        </is>
      </c>
      <c r="H105" s="4" t="inlineStr">
        <is>
          <t>npm run fixtures:spm43</t>
        </is>
      </c>
      <c r="I105" s="6" t="inlineStr">
        <is>
          <t>Sammi</t>
        </is>
      </c>
      <c r="J105" s="6" t="n"/>
      <c r="K105" s="6" t="n"/>
      <c r="L105" s="6" t="n"/>
      <c r="M105" s="6" t="inlineStr">
        <is>
          <t>Rewritten for this run: SPM-43-TC03 in the story workbook is out of date (SPM-93).</t>
        </is>
      </c>
    </row>
    <row r="106">
      <c r="A106" s="4" t="inlineStr">
        <is>
          <t>SPM-43-TC08-R</t>
        </is>
      </c>
      <c r="B106" s="4" t="inlineStr">
        <is>
          <t>SPM-43</t>
        </is>
      </c>
      <c r="C106" s="4" t="inlineStr">
        <is>
          <t>Rejecting with a reason takes the request off the list and shows the Coordinator the reason</t>
        </is>
      </c>
      <c r="D106" s="4" t="inlineStr">
        <is>
          <t>AC4, AC5</t>
        </is>
      </c>
      <c r="E106" s="4" t="inlineStr">
        <is>
          <t>Positive</t>
        </is>
      </c>
      <c r="F106" s="4" t="inlineStr">
        <is>
          <t>This file</t>
        </is>
      </c>
      <c r="G106" s="4" t="inlineStr">
        <is>
          <t>Rewritten cases</t>
        </is>
      </c>
      <c r="H106" s="4" t="inlineStr">
        <is>
          <t>npm run fixtures:spm43</t>
        </is>
      </c>
      <c r="I106" s="6" t="inlineStr">
        <is>
          <t>Sammi</t>
        </is>
      </c>
      <c r="J106" s="6" t="n"/>
      <c r="K106" s="6" t="n"/>
      <c r="L106" s="6" t="n"/>
      <c r="M106" s="6" t="inlineStr">
        <is>
          <t>Rewritten for this run: SPM-43-TC08 in the story workbook is out of date (SPM-93).</t>
        </is>
      </c>
    </row>
    <row r="107">
      <c r="A107" s="4" t="inlineStr">
        <is>
          <t>SPM-43-TC09-R</t>
        </is>
      </c>
      <c r="B107" s="4" t="inlineStr">
        <is>
          <t>SPM-43</t>
        </is>
      </c>
      <c r="C107" s="4" t="inlineStr">
        <is>
          <t>Venue Staff suggest another venue when rejecting; the Coordinator sees it and can start a request for it at the event's own times</t>
        </is>
      </c>
      <c r="D107" s="4" t="inlineStr">
        <is>
          <t>AC6</t>
        </is>
      </c>
      <c r="E107" s="4" t="inlineStr">
        <is>
          <t>Positive</t>
        </is>
      </c>
      <c r="F107" s="4" t="inlineStr">
        <is>
          <t>This file</t>
        </is>
      </c>
      <c r="G107" s="4" t="inlineStr">
        <is>
          <t>Rewritten cases</t>
        </is>
      </c>
      <c r="H107" s="4" t="inlineStr">
        <is>
          <t>npm run fixtures:spm43</t>
        </is>
      </c>
      <c r="I107" s="6" t="inlineStr">
        <is>
          <t>Sammi</t>
        </is>
      </c>
      <c r="J107" s="6" t="n"/>
      <c r="K107" s="6" t="n"/>
      <c r="L107" s="6" t="n"/>
      <c r="M107" s="6" t="inlineStr">
        <is>
          <t>Rewritten for this run: SPM-43-TC09 in the story workbook is out of date (SPM-93).</t>
        </is>
      </c>
    </row>
    <row r="108">
      <c r="A108" s="4" t="inlineStr">
        <is>
          <t>SPM-44-TC02-R</t>
        </is>
      </c>
      <c r="B108" s="4" t="inlineStr">
        <is>
          <t>SPM-44</t>
        </is>
      </c>
      <c r="C108" s="4" t="inlineStr">
        <is>
          <t>A request at other times on the same day at the same venue is allowed when the occupied periods do not overlap</t>
        </is>
      </c>
      <c r="D108" s="4" t="inlineStr">
        <is>
          <t>AC2, AC10</t>
        </is>
      </c>
      <c r="E108" s="4" t="inlineStr">
        <is>
          <t>Positive</t>
        </is>
      </c>
      <c r="F108" s="4" t="inlineStr">
        <is>
          <t>This file</t>
        </is>
      </c>
      <c r="G108" s="4" t="inlineStr">
        <is>
          <t>Rewritten cases</t>
        </is>
      </c>
      <c r="H108" s="4" t="inlineStr">
        <is>
          <t>npm run fixtures:spm44</t>
        </is>
      </c>
      <c r="I108" s="6" t="inlineStr">
        <is>
          <t>Sammi</t>
        </is>
      </c>
      <c r="J108" s="6" t="n"/>
      <c r="K108" s="6" t="n"/>
      <c r="L108" s="6" t="n"/>
      <c r="M108" s="6" t="inlineStr">
        <is>
          <t>Rewritten for this run: SPM-44-TC02 in the story workbook is out of date (SPM-93).</t>
        </is>
      </c>
    </row>
    <row r="109">
      <c r="A109" s="4" t="inlineStr">
        <is>
          <t>SPM-44-TC05-R</t>
        </is>
      </c>
      <c r="B109" s="4" t="inlineStr">
        <is>
          <t>SPM-44</t>
        </is>
      </c>
      <c r="C109" s="4" t="inlineStr">
        <is>
          <t>A rejected booking does not hold its times</t>
        </is>
      </c>
      <c r="D109" s="4" t="inlineStr">
        <is>
          <t>AC7, AC10</t>
        </is>
      </c>
      <c r="E109" s="4" t="inlineStr">
        <is>
          <t>Positive</t>
        </is>
      </c>
      <c r="F109" s="4" t="inlineStr">
        <is>
          <t>This file</t>
        </is>
      </c>
      <c r="G109" s="4" t="inlineStr">
        <is>
          <t>Rewritten cases</t>
        </is>
      </c>
      <c r="H109" s="4" t="inlineStr">
        <is>
          <t>npm run fixtures:spm44</t>
        </is>
      </c>
      <c r="I109" s="6" t="inlineStr">
        <is>
          <t>Sammi</t>
        </is>
      </c>
      <c r="J109" s="6" t="n"/>
      <c r="K109" s="6" t="n"/>
      <c r="L109" s="6" t="n"/>
      <c r="M109" s="6" t="inlineStr">
        <is>
          <t>Rewritten for this run: SPM-44-TC05 in the story workbook is out of date (SPM-93).</t>
        </is>
      </c>
    </row>
    <row r="110">
      <c r="A110" s="4" t="inlineStr">
        <is>
          <t>SPM-67-TC01</t>
        </is>
      </c>
      <c r="B110" s="4" t="inlineStr">
        <is>
          <t>SPM-67</t>
        </is>
      </c>
      <c r="C110" s="4" t="inlineStr">
        <is>
          <t>The assigned Coordinator withdraws one pending venue request with a reason, and the event's other pending request and approved booking are unchanged</t>
        </is>
      </c>
      <c r="D110" s="4" t="inlineStr">
        <is>
          <t>AC1, AC5, AC6</t>
        </is>
      </c>
      <c r="E110" s="4" t="inlineStr">
        <is>
          <t>Positive</t>
        </is>
      </c>
      <c r="F110" s="4" t="inlineStr">
        <is>
          <t>SPM-67_Test_Cases.xlsx</t>
        </is>
      </c>
      <c r="G110" s="4" t="inlineStr">
        <is>
          <t>TC01</t>
        </is>
      </c>
      <c r="H110" s="4" t="inlineStr">
        <is>
          <t>npm run fixtures:spm67</t>
        </is>
      </c>
      <c r="I110" s="6" t="inlineStr">
        <is>
          <t>Sammi</t>
        </is>
      </c>
      <c r="J110" s="6" t="n"/>
      <c r="K110" s="6" t="n"/>
      <c r="L110" s="6" t="n"/>
      <c r="M110" s="6" t="n"/>
    </row>
    <row r="111">
      <c r="A111" s="4" t="inlineStr">
        <is>
          <t>SPM-67-TC02</t>
        </is>
      </c>
      <c r="B111" s="4" t="inlineStr">
        <is>
          <t>SPM-67</t>
        </is>
      </c>
      <c r="C111" s="4" t="inlineStr">
        <is>
          <t>A withdrawn request leaves Venue Staff's Booking Requests list, while the same event's other pending request stays on it</t>
        </is>
      </c>
      <c r="D111" s="4" t="inlineStr">
        <is>
          <t>AC2</t>
        </is>
      </c>
      <c r="E111" s="4" t="inlineStr">
        <is>
          <t>Positive</t>
        </is>
      </c>
      <c r="F111" s="4" t="inlineStr">
        <is>
          <t>SPM-67_Test_Cases.xlsx</t>
        </is>
      </c>
      <c r="G111" s="4" t="inlineStr">
        <is>
          <t>TC02</t>
        </is>
      </c>
      <c r="H111" s="4" t="inlineStr">
        <is>
          <t>npm run fixtures:spm67</t>
        </is>
      </c>
      <c r="I111" s="6" t="inlineStr">
        <is>
          <t>Sammi</t>
        </is>
      </c>
      <c r="J111" s="6" t="n"/>
      <c r="K111" s="6" t="n"/>
      <c r="L111" s="6" t="n"/>
      <c r="M111" s="6" t="n"/>
    </row>
    <row r="112">
      <c r="A112" s="4" t="inlineStr">
        <is>
          <t>SPM-67-TC03</t>
        </is>
      </c>
      <c r="B112" s="4" t="inlineStr">
        <is>
          <t>SPM-67</t>
        </is>
      </c>
      <c r="C112" s="4" t="inlineStr">
        <is>
          <t>The assigned Coordinator releases one approved booking with a reason, Venue Staff are told of it, and the event's other approved booking is unchanged</t>
        </is>
      </c>
      <c r="D112" s="4" t="inlineStr">
        <is>
          <t>AC3, AC5, AC6, AC7</t>
        </is>
      </c>
      <c r="E112" s="4" t="inlineStr">
        <is>
          <t>Positive</t>
        </is>
      </c>
      <c r="F112" s="4" t="inlineStr">
        <is>
          <t>SPM-67_Test_Cases.xlsx</t>
        </is>
      </c>
      <c r="G112" s="4" t="inlineStr">
        <is>
          <t>TC03</t>
        </is>
      </c>
      <c r="H112" s="4" t="inlineStr">
        <is>
          <t>npm run fixtures:spm67</t>
        </is>
      </c>
      <c r="I112" s="6" t="inlineStr">
        <is>
          <t>Sammi</t>
        </is>
      </c>
      <c r="J112" s="6" t="n"/>
      <c r="K112" s="6" t="n"/>
      <c r="L112" s="6" t="n"/>
      <c r="M112" s="6" t="n"/>
    </row>
    <row r="113">
      <c r="A113" s="4" t="inlineStr">
        <is>
          <t>SPM-67-TC05-R</t>
        </is>
      </c>
      <c r="B113" s="4" t="inlineStr">
        <is>
          <t>SPM-67</t>
        </is>
      </c>
      <c r="C113" s="4" t="inlineStr">
        <is>
          <t>After the event's only booking is released, its venue is shown as outstanding and the Coordinator can request a different venue</t>
        </is>
      </c>
      <c r="D113" s="4" t="inlineStr">
        <is>
          <t>AC8, AC3</t>
        </is>
      </c>
      <c r="E113" s="4" t="inlineStr">
        <is>
          <t>Positive</t>
        </is>
      </c>
      <c r="F113" s="4" t="inlineStr">
        <is>
          <t>This file</t>
        </is>
      </c>
      <c r="G113" s="4" t="inlineStr">
        <is>
          <t>Rewritten cases</t>
        </is>
      </c>
      <c r="H113" s="4" t="inlineStr">
        <is>
          <t>npm run fixtures:spm67</t>
        </is>
      </c>
      <c r="I113" s="6" t="inlineStr">
        <is>
          <t>Sammi</t>
        </is>
      </c>
      <c r="J113" s="6" t="n"/>
      <c r="K113" s="6" t="n"/>
      <c r="L113" s="6" t="n"/>
      <c r="M113" s="6" t="inlineStr">
        <is>
          <t>Rewritten for this run: SPM-67-TC05 in the story workbook is out of date (SPM-88).</t>
        </is>
      </c>
    </row>
    <row r="114">
      <c r="A114" s="4" t="inlineStr">
        <is>
          <t>SPM-81-TC01</t>
        </is>
      </c>
      <c r="B114" s="4" t="inlineStr">
        <is>
          <t>SPM-81</t>
        </is>
      </c>
      <c r="C114" s="4" t="inlineStr">
        <is>
          <t>The Coordinator requests two different venues for the same event at the same date and times, and both requests are accepted and listed together</t>
        </is>
      </c>
      <c r="D114" s="4" t="inlineStr">
        <is>
          <t>AC1, AC3, AC6</t>
        </is>
      </c>
      <c r="E114" s="4" t="inlineStr">
        <is>
          <t>Positive</t>
        </is>
      </c>
      <c r="F114" s="4" t="inlineStr">
        <is>
          <t>SPM-81_Test_Cases.xlsx</t>
        </is>
      </c>
      <c r="G114" s="4" t="inlineStr">
        <is>
          <t>TC01</t>
        </is>
      </c>
      <c r="H114" s="4" t="inlineStr">
        <is>
          <t>npm run fixtures:spm81</t>
        </is>
      </c>
      <c r="I114" s="6" t="inlineStr">
        <is>
          <t>Sammi</t>
        </is>
      </c>
      <c r="J114" s="6" t="n"/>
      <c r="K114" s="6" t="n"/>
      <c r="L114" s="6" t="n"/>
      <c r="M114" s="6" t="n"/>
    </row>
    <row r="115">
      <c r="A115" s="4" t="inlineStr">
        <is>
          <t>SPM-81-TC05</t>
        </is>
      </c>
      <c r="B115" s="4" t="inlineStr">
        <is>
          <t>SPM-81</t>
        </is>
      </c>
      <c r="C115" s="4" t="inlineStr">
        <is>
          <t>Venue Staff see each of an event's venue requests as its own card, and approving one leaves the other Pending</t>
        </is>
      </c>
      <c r="D115" s="4" t="inlineStr">
        <is>
          <t>AC5</t>
        </is>
      </c>
      <c r="E115" s="4" t="inlineStr">
        <is>
          <t>Positive</t>
        </is>
      </c>
      <c r="F115" s="4" t="inlineStr">
        <is>
          <t>SPM-81_Test_Cases.xlsx</t>
        </is>
      </c>
      <c r="G115" s="4" t="inlineStr">
        <is>
          <t>TC05</t>
        </is>
      </c>
      <c r="H115" s="4" t="inlineStr">
        <is>
          <t>npm run fixtures:spm81</t>
        </is>
      </c>
      <c r="I115" s="6" t="inlineStr">
        <is>
          <t>Sammi</t>
        </is>
      </c>
      <c r="J115" s="6" t="n"/>
      <c r="K115" s="6" t="n"/>
      <c r="L115" s="6" t="n"/>
      <c r="M115" s="6" t="inlineStr">
        <is>
          <t>Run before SPM-81-TC06, which continues from this case.</t>
        </is>
      </c>
    </row>
    <row r="116">
      <c r="A116" s="4" t="inlineStr">
        <is>
          <t>SPM-81-TC06</t>
        </is>
      </c>
      <c r="B116" s="4" t="inlineStr">
        <is>
          <t>SPM-81</t>
        </is>
      </c>
      <c r="C116" s="4" t="inlineStr">
        <is>
          <t>Rejecting one of an event's venue requests leaves its other, approved booking unchanged</t>
        </is>
      </c>
      <c r="D116" s="4" t="inlineStr">
        <is>
          <t>AC7, AC5, AC6</t>
        </is>
      </c>
      <c r="E116" s="4" t="inlineStr">
        <is>
          <t>Positive</t>
        </is>
      </c>
      <c r="F116" s="4" t="inlineStr">
        <is>
          <t>SPM-81_Test_Cases.xlsx</t>
        </is>
      </c>
      <c r="G116" s="4" t="inlineStr">
        <is>
          <t>TC06</t>
        </is>
      </c>
      <c r="H116" s="4" t="inlineStr">
        <is>
          <t>npm run fixtures:spm81</t>
        </is>
      </c>
      <c r="I116" s="6" t="inlineStr">
        <is>
          <t>Sammi</t>
        </is>
      </c>
      <c r="J116" s="6" t="n"/>
      <c r="K116" s="6" t="n"/>
      <c r="L116" s="6" t="n"/>
      <c r="M116" s="6" t="inlineStr">
        <is>
          <t>Run straight after SPM-81-TC05; do not reset the fixtures in between.</t>
        </is>
      </c>
    </row>
    <row r="117">
      <c r="A117" s="4" t="inlineStr">
        <is>
          <t>SPM-81-TC08</t>
        </is>
      </c>
      <c r="B117" s="4" t="inlineStr">
        <is>
          <t>SPM-81</t>
        </is>
      </c>
      <c r="C117" s="4" t="inlineStr">
        <is>
          <t>An event with a single venue booking is shown as before: one room on the Overview and one request on the Venue tab</t>
        </is>
      </c>
      <c r="D117" s="4" t="inlineStr">
        <is>
          <t>AC8</t>
        </is>
      </c>
      <c r="E117" s="4" t="inlineStr">
        <is>
          <t>Positive</t>
        </is>
      </c>
      <c r="F117" s="4" t="inlineStr">
        <is>
          <t>SPM-81_Test_Cases.xlsx</t>
        </is>
      </c>
      <c r="G117" s="4" t="inlineStr">
        <is>
          <t>TC08</t>
        </is>
      </c>
      <c r="H117" s="4" t="inlineStr">
        <is>
          <t>npm run fixtures:spm81</t>
        </is>
      </c>
      <c r="I117" s="6" t="inlineStr">
        <is>
          <t>Sammi</t>
        </is>
      </c>
      <c r="J117" s="6" t="n"/>
      <c r="K117" s="6" t="n"/>
      <c r="L117" s="6" t="n"/>
      <c r="M117" s="6" t="n"/>
    </row>
    <row r="118">
      <c r="A118" s="4" t="inlineStr">
        <is>
          <t>SPM-82-TC01</t>
        </is>
      </c>
      <c r="B118" s="4" t="inlineStr">
        <is>
          <t>SPM-82</t>
        </is>
      </c>
      <c r="C118" s="4" t="inlineStr">
        <is>
          <t>A new venue request is held for 7 days, and the Coordinator sees when the hold expires</t>
        </is>
      </c>
      <c r="D118" s="4" t="inlineStr">
        <is>
          <t>AC1, AC2</t>
        </is>
      </c>
      <c r="E118" s="4" t="inlineStr">
        <is>
          <t>Positive</t>
        </is>
      </c>
      <c r="F118" s="4" t="inlineStr">
        <is>
          <t>SPM-82_Test_Cases.xlsx</t>
        </is>
      </c>
      <c r="G118" s="4" t="inlineStr">
        <is>
          <t>TC01</t>
        </is>
      </c>
      <c r="H118" s="4" t="inlineStr">
        <is>
          <t>npm run fixtures:spm82</t>
        </is>
      </c>
      <c r="I118" s="6" t="inlineStr">
        <is>
          <t>Sammi</t>
        </is>
      </c>
      <c r="J118" s="6" t="n"/>
      <c r="K118" s="6" t="n"/>
      <c r="L118" s="6" t="n"/>
      <c r="M118" s="6" t="n"/>
    </row>
    <row r="119">
      <c r="A119" s="4" t="inlineStr">
        <is>
          <t>SPM-82-TC05</t>
        </is>
      </c>
      <c r="B119" s="4" t="inlineStr">
        <is>
          <t>SPM-82</t>
        </is>
      </c>
      <c r="C119" s="4" t="inlineStr">
        <is>
          <t>Venue Staff bring a hold's expiry forward, and once that time passes the hold leaves their list and the event shows it as Expired</t>
        </is>
      </c>
      <c r="D119" s="4" t="inlineStr">
        <is>
          <t>AC3, AC4</t>
        </is>
      </c>
      <c r="E119" s="4" t="inlineStr">
        <is>
          <t>Positive</t>
        </is>
      </c>
      <c r="F119" s="4" t="inlineStr">
        <is>
          <t>SPM-82_Test_Cases.xlsx</t>
        </is>
      </c>
      <c r="G119" s="4" t="inlineStr">
        <is>
          <t>TC05</t>
        </is>
      </c>
      <c r="H119" s="4" t="inlineStr">
        <is>
          <t>npm run fixtures:spm82</t>
        </is>
      </c>
      <c r="I119" s="6" t="inlineStr">
        <is>
          <t>Sammi</t>
        </is>
      </c>
      <c r="J119" s="6" t="n"/>
      <c r="K119" s="6" t="n"/>
      <c r="L119" s="6" t="n"/>
      <c r="M119" s="6" t="n"/>
    </row>
    <row r="120">
      <c r="A120" s="4" t="inlineStr">
        <is>
          <t>SPM-82-TC06</t>
        </is>
      </c>
      <c r="B120" s="4" t="inlineStr">
        <is>
          <t>SPM-82</t>
        </is>
      </c>
      <c r="C120" s="4" t="inlineStr">
        <is>
          <t>An expired hold stays on the event, marked Expired and distinct from pending, approved, rejected and withdrawn bookings - and an approved booking does not expire</t>
        </is>
      </c>
      <c r="D120" s="4" t="inlineStr">
        <is>
          <t>AC4, AC8, AC11</t>
        </is>
      </c>
      <c r="E120" s="4" t="inlineStr">
        <is>
          <t>Positive</t>
        </is>
      </c>
      <c r="F120" s="4" t="inlineStr">
        <is>
          <t>SPM-82_Test_Cases.xlsx</t>
        </is>
      </c>
      <c r="G120" s="4" t="inlineStr">
        <is>
          <t>TC06</t>
        </is>
      </c>
      <c r="H120" s="4" t="inlineStr">
        <is>
          <t>npm run fixtures:spm82</t>
        </is>
      </c>
      <c r="I120" s="6" t="inlineStr">
        <is>
          <t>Sammi</t>
        </is>
      </c>
      <c r="J120" s="6" t="n"/>
      <c r="K120" s="6" t="n"/>
      <c r="L120" s="6" t="n"/>
      <c r="M120" s="6" t="n"/>
    </row>
    <row r="121">
      <c r="A121" s="4" t="inlineStr">
        <is>
          <t>SPM-82-TC07</t>
        </is>
      </c>
      <c r="B121" s="4" t="inlineStr">
        <is>
          <t>SPM-82</t>
        </is>
      </c>
      <c r="C121" s="4" t="inlineStr">
        <is>
          <t>The Coordinator is warned only when a hold expires within 24 hours and told when a hold has expired, and each notification opens the event's Venue tab</t>
        </is>
      </c>
      <c r="D121" s="4" t="inlineStr">
        <is>
          <t>AC9</t>
        </is>
      </c>
      <c r="E121" s="4" t="inlineStr">
        <is>
          <t>Positive</t>
        </is>
      </c>
      <c r="F121" s="4" t="inlineStr">
        <is>
          <t>SPM-82_Test_Cases.xlsx</t>
        </is>
      </c>
      <c r="G121" s="4" t="inlineStr">
        <is>
          <t>TC07</t>
        </is>
      </c>
      <c r="H121" s="4" t="inlineStr">
        <is>
          <t>npm run fixtures:spm82</t>
        </is>
      </c>
      <c r="I121" s="6" t="inlineStr">
        <is>
          <t>Sammi</t>
        </is>
      </c>
      <c r="J121" s="6" t="n"/>
      <c r="K121" s="6" t="n"/>
      <c r="L121" s="6" t="n"/>
      <c r="M121" s="6" t="n"/>
    </row>
    <row r="122">
      <c r="A122" s="4" t="inlineStr">
        <is>
          <t>SPM-82-TC09</t>
        </is>
      </c>
      <c r="B122" s="4" t="inlineStr">
        <is>
          <t>SPM-82</t>
        </is>
      </c>
      <c r="C122" s="4" t="inlineStr">
        <is>
          <t>After a hold expires the Coordinator can request the same room again, and the new request replaces the expired one as the venue arrangement</t>
        </is>
      </c>
      <c r="D122" s="4" t="inlineStr">
        <is>
          <t>AC5, AC10</t>
        </is>
      </c>
      <c r="E122" s="4" t="inlineStr">
        <is>
          <t>Positive</t>
        </is>
      </c>
      <c r="F122" s="4" t="inlineStr">
        <is>
          <t>SPM-82_Test_Cases.xlsx</t>
        </is>
      </c>
      <c r="G122" s="4" t="inlineStr">
        <is>
          <t>TC09</t>
        </is>
      </c>
      <c r="H122" s="4" t="inlineStr">
        <is>
          <t>npm run fixtures:spm82</t>
        </is>
      </c>
      <c r="I122" s="6" t="inlineStr">
        <is>
          <t>Sammi</t>
        </is>
      </c>
      <c r="J122" s="6" t="n"/>
      <c r="K122" s="6" t="n"/>
      <c r="L122" s="6" t="n"/>
      <c r="M122" s="6" t="n"/>
    </row>
    <row r="123">
      <c r="A123" s="4" t="inlineStr">
        <is>
          <t>SPM-82-TC11</t>
        </is>
      </c>
      <c r="B123" s="4" t="inlineStr">
        <is>
          <t>SPM-82</t>
        </is>
      </c>
      <c r="C123" s="4" t="inlineStr">
        <is>
          <t>The availability calendar shows an active hold as Requested but no longer shows an expired one</t>
        </is>
      </c>
      <c r="D123" s="4" t="inlineStr">
        <is>
          <t>AC7</t>
        </is>
      </c>
      <c r="E123" s="4" t="inlineStr">
        <is>
          <t>Positive</t>
        </is>
      </c>
      <c r="F123" s="4" t="inlineStr">
        <is>
          <t>SPM-82_Test_Cases.xlsx</t>
        </is>
      </c>
      <c r="G123" s="4" t="inlineStr">
        <is>
          <t>TC11</t>
        </is>
      </c>
      <c r="H123" s="4" t="inlineStr">
        <is>
          <t>npm run fixtures:spm82</t>
        </is>
      </c>
      <c r="I123" s="6" t="inlineStr">
        <is>
          <t>Sammi</t>
        </is>
      </c>
      <c r="J123" s="6" t="n"/>
      <c r="K123" s="6" t="n"/>
      <c r="L123" s="6" t="n"/>
      <c r="M123" s="6" t="inlineStr">
        <is>
          <t>Run before SPM-82-TC10, which continues from this case.</t>
        </is>
      </c>
    </row>
    <row r="124">
      <c r="A124" s="4" t="inlineStr">
        <is>
          <t>SPM-82-TC10</t>
        </is>
      </c>
      <c r="B124" s="4" t="inlineStr">
        <is>
          <t>SPM-82</t>
        </is>
      </c>
      <c r="C124" s="4" t="inlineStr">
        <is>
          <t>Venue search and a new booking request treat the time an expired hold took up, including the room's setup and turnaround, as free</t>
        </is>
      </c>
      <c r="D124" s="4" t="inlineStr">
        <is>
          <t>AC6</t>
        </is>
      </c>
      <c r="E124" s="4" t="inlineStr">
        <is>
          <t>Boundary</t>
        </is>
      </c>
      <c r="F124" s="4" t="inlineStr">
        <is>
          <t>SPM-82_Test_Cases.xlsx</t>
        </is>
      </c>
      <c r="G124" s="4" t="inlineStr">
        <is>
          <t>TC10</t>
        </is>
      </c>
      <c r="H124" s="4" t="inlineStr">
        <is>
          <t>npm run fixtures:spm82</t>
        </is>
      </c>
      <c r="I124" s="6" t="inlineStr">
        <is>
          <t>Sammi</t>
        </is>
      </c>
      <c r="J124" s="6" t="n"/>
      <c r="K124" s="6" t="n"/>
      <c r="L124" s="6" t="n"/>
      <c r="M124" s="6" t="inlineStr">
        <is>
          <t>Run straight after SPM-82-TC11; do not reset the fixtures in between.</t>
        </is>
      </c>
    </row>
    <row r="125">
      <c r="A125" s="4" t="inlineStr">
        <is>
          <t>SPM-68-TC01</t>
        </is>
      </c>
      <c r="B125" s="4" t="inlineStr">
        <is>
          <t>SPM-68</t>
        </is>
      </c>
      <c r="C125" s="4" t="inlineStr">
        <is>
          <t>The Flagged Arrangements page lists a flagged venue booking, equipment reservation and registrations on their own tabs, each with the event, the arrangement, why it was flagged and its current result, and leaves out the event's unflagged booking</t>
        </is>
      </c>
      <c r="D125" s="4" t="inlineStr">
        <is>
          <t>AC1, AC2, AC3, AC4, AC5, AC8</t>
        </is>
      </c>
      <c r="E125" s="4" t="inlineStr">
        <is>
          <t>Positive</t>
        </is>
      </c>
      <c r="F125" s="4" t="inlineStr">
        <is>
          <t>SPM-68_Test_Cases.xlsx</t>
        </is>
      </c>
      <c r="G125" s="4" t="inlineStr">
        <is>
          <t>TC01</t>
        </is>
      </c>
      <c r="H125" s="4" t="inlineStr">
        <is>
          <t>npm run fixtures:spm68</t>
        </is>
      </c>
      <c r="I125" s="6" t="inlineStr">
        <is>
          <t>Sammi</t>
        </is>
      </c>
      <c r="J125" s="6" t="n"/>
      <c r="K125" s="6" t="n"/>
      <c r="L125" s="6" t="n"/>
      <c r="M125" s="6" t="n"/>
    </row>
    <row r="126">
      <c r="A126" s="4" t="inlineStr">
        <is>
          <t>SPM-68-TC05-R</t>
        </is>
      </c>
      <c r="B126" s="4" t="inlineStr">
        <is>
          <t>SPM-68</t>
        </is>
      </c>
      <c r="C126" s="4" t="inlineStr">
        <is>
          <t>A flagged venue booking blocks confirmation until it is kept; keeping it clears the flag and leaves the booking unchanged</t>
        </is>
      </c>
      <c r="D126" s="4" t="inlineStr">
        <is>
          <t>AC6, AC4, AC14, AC15</t>
        </is>
      </c>
      <c r="E126" s="4" t="inlineStr">
        <is>
          <t>Positive</t>
        </is>
      </c>
      <c r="F126" s="4" t="inlineStr">
        <is>
          <t>This file</t>
        </is>
      </c>
      <c r="G126" s="4" t="inlineStr">
        <is>
          <t>Rewritten cases</t>
        </is>
      </c>
      <c r="H126" s="4" t="inlineStr">
        <is>
          <t>npm run fixtures:spm68</t>
        </is>
      </c>
      <c r="I126" s="6" t="inlineStr">
        <is>
          <t>Sammi</t>
        </is>
      </c>
      <c r="J126" s="6" t="n"/>
      <c r="K126" s="6" t="n"/>
      <c r="L126" s="6" t="n"/>
      <c r="M126" s="6" t="inlineStr">
        <is>
          <t>Rewritten for this run: SPM-68-TC05 in the story workbook is out of date (SPM-88).</t>
        </is>
      </c>
    </row>
    <row r="127">
      <c r="A127" s="4" t="inlineStr">
        <is>
          <t>SPM-68-TC11</t>
        </is>
      </c>
      <c r="B127" s="4" t="inlineStr">
        <is>
          <t>SPM-68</t>
        </is>
      </c>
      <c r="C127" s="4" t="inlineStr">
        <is>
          <t>Flagged registrations show how many attendees are registered or waitlisted and why, link to the event's Overview where the registration settings are changed, and marking them as reviewed clears the flag without changing those settings</t>
        </is>
      </c>
      <c r="D127" s="4" t="inlineStr">
        <is>
          <t>AC8, AC9</t>
        </is>
      </c>
      <c r="E127" s="4" t="inlineStr">
        <is>
          <t>Positive</t>
        </is>
      </c>
      <c r="F127" s="4" t="inlineStr">
        <is>
          <t>SPM-68_Test_Cases.xlsx</t>
        </is>
      </c>
      <c r="G127" s="4" t="inlineStr">
        <is>
          <t>TC11</t>
        </is>
      </c>
      <c r="H127" s="4" t="inlineStr">
        <is>
          <t>npm run fixtures:spm68</t>
        </is>
      </c>
      <c r="I127" s="6" t="inlineStr">
        <is>
          <t>Sammi</t>
        </is>
      </c>
      <c r="J127" s="6" t="n"/>
      <c r="K127" s="6" t="n"/>
      <c r="L127" s="6" t="n"/>
      <c r="M127" s="6" t="n"/>
    </row>
    <row r="128">
      <c r="A128" s="4" t="inlineStr">
        <is>
          <t>SPM-68-TC12-R</t>
        </is>
      </c>
      <c r="B128" s="4" t="inlineStr">
        <is>
          <t>SPM-68</t>
        </is>
      </c>
      <c r="C128" s="4" t="inlineStr">
        <is>
          <t>An event whose only flag is on its registrations can still be confirmed once its safety check is approved, and the flag stays</t>
        </is>
      </c>
      <c r="D128" s="4" t="inlineStr">
        <is>
          <t>AC10</t>
        </is>
      </c>
      <c r="E128" s="4" t="inlineStr">
        <is>
          <t>Positive</t>
        </is>
      </c>
      <c r="F128" s="4" t="inlineStr">
        <is>
          <t>This file</t>
        </is>
      </c>
      <c r="G128" s="4" t="inlineStr">
        <is>
          <t>Rewritten cases</t>
        </is>
      </c>
      <c r="H128" s="4" t="inlineStr">
        <is>
          <t>npm run fixtures:spm68</t>
        </is>
      </c>
      <c r="I128" s="6" t="inlineStr">
        <is>
          <t>Sammi</t>
        </is>
      </c>
      <c r="J128" s="6" t="n"/>
      <c r="K128" s="6" t="n"/>
      <c r="L128" s="6" t="n"/>
      <c r="M128" s="6" t="inlineStr">
        <is>
          <t>Rewritten for this run: SPM-68-TC12 in the story workbook is out of date (SPM-86, SPM-87, SPM-88).</t>
        </is>
      </c>
    </row>
    <row r="129">
      <c r="A129" s="4" t="inlineStr">
        <is>
          <t>SPM-68-TC13</t>
        </is>
      </c>
      <c r="B129" s="4" t="inlineStr">
        <is>
          <t>SPM-68</t>
        </is>
      </c>
      <c r="C129" s="4" t="inlineStr">
        <is>
          <t>A replacement venue is searched for from the flagged booking with the search pre-filled, and requesting it adds a pending request while the flagged booking, the event's information and its status stay unchanged</t>
        </is>
      </c>
      <c r="D129" s="4" t="inlineStr">
        <is>
          <t>AC11, AC12, AC13, AC14</t>
        </is>
      </c>
      <c r="E129" s="4" t="inlineStr">
        <is>
          <t>Positive</t>
        </is>
      </c>
      <c r="F129" s="4" t="inlineStr">
        <is>
          <t>SPM-68_Test_Cases.xlsx</t>
        </is>
      </c>
      <c r="G129" s="4" t="inlineStr">
        <is>
          <t>TC13</t>
        </is>
      </c>
      <c r="H129" s="4" t="inlineStr">
        <is>
          <t>npm run fixtures:spm68</t>
        </is>
      </c>
      <c r="I129" s="6" t="inlineStr">
        <is>
          <t>Sammi</t>
        </is>
      </c>
      <c r="J129" s="6" t="n"/>
      <c r="K129" s="6" t="n"/>
      <c r="L129" s="6" t="n"/>
      <c r="M129" s="6" t="inlineStr">
        <is>
          <t>Run before SPM-68-TC14-R, which continues from this case.</t>
        </is>
      </c>
    </row>
    <row r="130">
      <c r="A130" s="4" t="inlineStr">
        <is>
          <t>SPM-68-TC14-R</t>
        </is>
      </c>
      <c r="B130" s="4" t="inlineStr">
        <is>
          <t>SPM-68</t>
        </is>
      </c>
      <c r="C130" s="4" t="inlineStr">
        <is>
          <t>The flagged booking is released from the event's Venue tab; it stays on the record as Released, and the replacement request and the event are unchanged</t>
        </is>
      </c>
      <c r="D130" s="4" t="inlineStr">
        <is>
          <t>AC12, AC13, AC14</t>
        </is>
      </c>
      <c r="E130" s="4" t="inlineStr">
        <is>
          <t>Positive</t>
        </is>
      </c>
      <c r="F130" s="4" t="inlineStr">
        <is>
          <t>This file</t>
        </is>
      </c>
      <c r="G130" s="4" t="inlineStr">
        <is>
          <t>Rewritten cases</t>
        </is>
      </c>
      <c r="H130" s="4" t="inlineStr">
        <is>
          <t>npm run fixtures:spm68</t>
        </is>
      </c>
      <c r="I130" s="6" t="inlineStr">
        <is>
          <t>Sammi</t>
        </is>
      </c>
      <c r="J130" s="6" t="n"/>
      <c r="K130" s="6" t="n"/>
      <c r="L130" s="6" t="n"/>
      <c r="M130" s="6" t="inlineStr">
        <is>
          <t>Run straight after SPM-68-TC13; do not reset the fixtures in between. Rewritten for this run: SPM-68-TC14 in the story workbook is out of date (SPM-88).</t>
        </is>
      </c>
    </row>
    <row r="131">
      <c r="A131" s="4" t="inlineStr">
        <is>
          <t>SPM-47-TC01</t>
        </is>
      </c>
      <c r="B131" s="4" t="inlineStr">
        <is>
          <t>SPM-47</t>
        </is>
      </c>
      <c r="C131" s="4" t="inlineStr">
        <is>
          <t>Coordinator records an equipment requirement with a type, quantity, and technical requirements</t>
        </is>
      </c>
      <c r="D131" s="4" t="inlineStr">
        <is>
          <t>AC1, AC2, AC3</t>
        </is>
      </c>
      <c r="E131" s="4" t="inlineStr">
        <is>
          <t>Positive</t>
        </is>
      </c>
      <c r="F131" s="4" t="inlineStr">
        <is>
          <t>SPM-47_Test_Cases.xlsx</t>
        </is>
      </c>
      <c r="G131" s="4" t="inlineStr">
        <is>
          <t>TC01</t>
        </is>
      </c>
      <c r="H131" s="4" t="inlineStr">
        <is>
          <t>Base seed data</t>
        </is>
      </c>
      <c r="I131" s="6" t="inlineStr">
        <is>
          <t>Kristen</t>
        </is>
      </c>
      <c r="J131" s="6" t="n"/>
      <c r="K131" s="6" t="n"/>
      <c r="L131" s="6" t="n"/>
      <c r="M131" s="6" t="n"/>
    </row>
    <row r="132">
      <c r="A132" s="4" t="inlineStr">
        <is>
          <t>SPM-47-TC14</t>
        </is>
      </c>
      <c r="B132" s="4" t="inlineStr">
        <is>
          <t>SPM-47</t>
        </is>
      </c>
      <c r="C132" s="4" t="inlineStr">
        <is>
          <t>Organiser sees the same requirements read-only and cannot edit them</t>
        </is>
      </c>
      <c r="D132" s="4" t="inlineStr">
        <is>
          <t>AC6, AC7</t>
        </is>
      </c>
      <c r="E132" s="4" t="inlineStr">
        <is>
          <t>Positive</t>
        </is>
      </c>
      <c r="F132" s="4" t="inlineStr">
        <is>
          <t>SPM-47_Test_Cases.xlsx</t>
        </is>
      </c>
      <c r="G132" s="4" t="inlineStr">
        <is>
          <t>TC14</t>
        </is>
      </c>
      <c r="H132" s="4" t="inlineStr">
        <is>
          <t>Base seed data</t>
        </is>
      </c>
      <c r="I132" s="6" t="inlineStr">
        <is>
          <t>Kristen</t>
        </is>
      </c>
      <c r="J132" s="6" t="n"/>
      <c r="K132" s="6" t="n"/>
      <c r="L132" s="6" t="n"/>
      <c r="M132" s="6" t="n"/>
    </row>
    <row r="133">
      <c r="A133" s="4" t="inlineStr">
        <is>
          <t>SPM-47-TC17</t>
        </is>
      </c>
      <c r="B133" s="4" t="inlineStr">
        <is>
          <t>SPM-47</t>
        </is>
      </c>
      <c r="C133" s="4" t="inlineStr">
        <is>
          <t>Coordinator scopes equipment requirements to individual sessions of a multi-session event</t>
        </is>
      </c>
      <c r="D133" s="4" t="inlineStr">
        <is>
          <t>AC4, AC5</t>
        </is>
      </c>
      <c r="E133" s="4" t="inlineStr">
        <is>
          <t>Positive</t>
        </is>
      </c>
      <c r="F133" s="4" t="inlineStr">
        <is>
          <t>SPM-47_Test_Cases.xlsx</t>
        </is>
      </c>
      <c r="G133" s="4" t="inlineStr">
        <is>
          <t>TC17</t>
        </is>
      </c>
      <c r="H133" s="4" t="inlineStr">
        <is>
          <t>Base seed data</t>
        </is>
      </c>
      <c r="I133" s="6" t="inlineStr">
        <is>
          <t>Kristen</t>
        </is>
      </c>
      <c r="J133" s="6" t="n"/>
      <c r="K133" s="6" t="n"/>
      <c r="L133" s="6" t="n"/>
      <c r="M133" s="6" t="n"/>
    </row>
    <row r="134">
      <c r="A134" s="4" t="inlineStr">
        <is>
          <t>SPM-48-TC14</t>
        </is>
      </c>
      <c r="B134" s="4" t="inlineStr">
        <is>
          <t>SPM-48</t>
        </is>
      </c>
      <c r="C134" s="4" t="inlineStr">
        <is>
          <t>Two events on the same day can both be supported when stock covers both</t>
        </is>
      </c>
      <c r="D134" s="4" t="inlineStr">
        <is>
          <t>AC4, AC5</t>
        </is>
      </c>
      <c r="E134" s="4" t="inlineStr">
        <is>
          <t>Positive</t>
        </is>
      </c>
      <c r="F134" s="4" t="inlineStr">
        <is>
          <t>SPM-48_Test_Cases.xlsx</t>
        </is>
      </c>
      <c r="G134" s="4" t="inlineStr">
        <is>
          <t>TC14</t>
        </is>
      </c>
      <c r="H134" s="4" t="inlineStr">
        <is>
          <t>Base seed data</t>
        </is>
      </c>
      <c r="I134" s="6" t="inlineStr">
        <is>
          <t>Kristen</t>
        </is>
      </c>
      <c r="J134" s="6" t="n"/>
      <c r="K134" s="6" t="n"/>
      <c r="L134" s="6" t="n"/>
      <c r="M134" s="6" t="n"/>
    </row>
    <row r="135">
      <c r="A135" s="4" t="inlineStr">
        <is>
          <t>SPM-48-TC15</t>
        </is>
      </c>
      <c r="B135" s="4" t="inlineStr">
        <is>
          <t>SPM-48</t>
        </is>
      </c>
      <c r="C135" s="4" t="inlineStr">
        <is>
          <t>Each session of a multi-session event is checked against its own dates</t>
        </is>
      </c>
      <c r="D135" s="4" t="inlineStr">
        <is>
          <t>AC3, AC5</t>
        </is>
      </c>
      <c r="E135" s="4" t="inlineStr">
        <is>
          <t>Positive</t>
        </is>
      </c>
      <c r="F135" s="4" t="inlineStr">
        <is>
          <t>SPM-48_Test_Cases.xlsx</t>
        </is>
      </c>
      <c r="G135" s="4" t="inlineStr">
        <is>
          <t>TC15</t>
        </is>
      </c>
      <c r="H135" s="4" t="inlineStr">
        <is>
          <t>Base seed data</t>
        </is>
      </c>
      <c r="I135" s="6" t="inlineStr">
        <is>
          <t>Kristen</t>
        </is>
      </c>
      <c r="J135" s="6" t="n"/>
      <c r="K135" s="6" t="n"/>
      <c r="L135" s="6" t="n"/>
      <c r="M135" s="6" t="n"/>
    </row>
    <row r="136">
      <c r="A136" s="4" t="inlineStr">
        <is>
          <t>SPM-48-TC16</t>
        </is>
      </c>
      <c r="B136" s="4" t="inlineStr">
        <is>
          <t>SPM-48</t>
        </is>
      </c>
      <c r="C136" s="4" t="inlineStr">
        <is>
          <t>Equipment in ConnectSphere storage leaves the fixed transfer/prep time before the event</t>
        </is>
      </c>
      <c r="D136" s="4" t="inlineStr">
        <is>
          <t>AC6</t>
        </is>
      </c>
      <c r="E136" s="4" t="inlineStr">
        <is>
          <t>Positive</t>
        </is>
      </c>
      <c r="F136" s="4" t="inlineStr">
        <is>
          <t>SPM-48_Test_Cases.xlsx</t>
        </is>
      </c>
      <c r="G136" s="4" t="inlineStr">
        <is>
          <t>TC16</t>
        </is>
      </c>
      <c r="H136" s="4" t="inlineStr">
        <is>
          <t>Base seed data</t>
        </is>
      </c>
      <c r="I136" s="6" t="inlineStr">
        <is>
          <t>Kristen</t>
        </is>
      </c>
      <c r="J136" s="6" t="n"/>
      <c r="K136" s="6" t="n"/>
      <c r="L136" s="6" t="n"/>
      <c r="M136" s="6" t="n"/>
    </row>
    <row r="137">
      <c r="A137" s="4" t="inlineStr">
        <is>
          <t>SPM-48-TC19</t>
        </is>
      </c>
      <c r="B137" s="4" t="inlineStr">
        <is>
          <t>SPM-48</t>
        </is>
      </c>
      <c r="C137" s="4" t="inlineStr">
        <is>
          <t>Units under maintenance are excluded from the available count</t>
        </is>
      </c>
      <c r="D137" s="4" t="inlineStr">
        <is>
          <t>AC7</t>
        </is>
      </c>
      <c r="E137" s="4" t="inlineStr">
        <is>
          <t>Positive</t>
        </is>
      </c>
      <c r="F137" s="4" t="inlineStr">
        <is>
          <t>SPM-48_Test_Cases.xlsx</t>
        </is>
      </c>
      <c r="G137" s="4" t="inlineStr">
        <is>
          <t>TC19</t>
        </is>
      </c>
      <c r="H137" s="4" t="inlineStr">
        <is>
          <t>Base seed data</t>
        </is>
      </c>
      <c r="I137" s="6" t="inlineStr">
        <is>
          <t>Kristen</t>
        </is>
      </c>
      <c r="J137" s="6" t="n"/>
      <c r="K137" s="6" t="n"/>
      <c r="L137" s="6" t="n"/>
      <c r="M137" s="6" t="n"/>
    </row>
    <row r="138">
      <c r="A138" s="4" t="inlineStr">
        <is>
          <t>SPM-48-TC21</t>
        </is>
      </c>
      <c r="B138" s="4" t="inlineStr">
        <is>
          <t>SPM-48</t>
        </is>
      </c>
      <c r="C138" s="4" t="inlineStr">
        <is>
          <t>A request with several lines shows a result per line and one overall banner</t>
        </is>
      </c>
      <c r="D138" s="4" t="inlineStr">
        <is>
          <t>AC2, AC8</t>
        </is>
      </c>
      <c r="E138" s="4" t="inlineStr">
        <is>
          <t>Positive</t>
        </is>
      </c>
      <c r="F138" s="4" t="inlineStr">
        <is>
          <t>SPM-48_Test_Cases.xlsx</t>
        </is>
      </c>
      <c r="G138" s="4" t="inlineStr">
        <is>
          <t>TC21</t>
        </is>
      </c>
      <c r="H138" s="4" t="inlineStr">
        <is>
          <t>Base seed data</t>
        </is>
      </c>
      <c r="I138" s="6" t="inlineStr">
        <is>
          <t>Kristen</t>
        </is>
      </c>
      <c r="J138" s="6" t="n"/>
      <c r="K138" s="6" t="n"/>
      <c r="L138" s="6" t="n"/>
      <c r="M138" s="6" t="n"/>
    </row>
    <row r="139">
      <c r="A139" s="4" t="inlineStr">
        <is>
          <t>SPM-49-TC01</t>
        </is>
      </c>
      <c r="B139" s="4" t="inlineStr">
        <is>
          <t>SPM-49</t>
        </is>
      </c>
      <c r="C139" s="4" t="inlineStr">
        <is>
          <t>Reserve the full requested quantity when enough is available</t>
        </is>
      </c>
      <c r="D139" s="4" t="inlineStr">
        <is>
          <t>AC1</t>
        </is>
      </c>
      <c r="E139" s="4" t="inlineStr">
        <is>
          <t>Positive</t>
        </is>
      </c>
      <c r="F139" s="4" t="inlineStr">
        <is>
          <t>SPM-49_Test_Cases.xlsx</t>
        </is>
      </c>
      <c r="G139" s="4" t="inlineStr">
        <is>
          <t>TC01</t>
        </is>
      </c>
      <c r="H139" s="4" t="inlineStr">
        <is>
          <t>Base seed data</t>
        </is>
      </c>
      <c r="I139" s="6" t="inlineStr">
        <is>
          <t>Kristen</t>
        </is>
      </c>
      <c r="J139" s="6" t="n"/>
      <c r="K139" s="6" t="n"/>
      <c r="L139" s="6" t="n"/>
      <c r="M139" s="6" t="n"/>
    </row>
    <row r="140">
      <c r="A140" s="4" t="inlineStr">
        <is>
          <t>SPM-49-TC05</t>
        </is>
      </c>
      <c r="B140" s="4" t="inlineStr">
        <is>
          <t>SPM-49</t>
        </is>
      </c>
      <c r="C140" s="4" t="inlineStr">
        <is>
          <t>The reservation is still there, with its type and quantity, after reloading</t>
        </is>
      </c>
      <c r="D140" s="4" t="inlineStr">
        <is>
          <t>AC2</t>
        </is>
      </c>
      <c r="E140" s="4" t="inlineStr">
        <is>
          <t>Positive</t>
        </is>
      </c>
      <c r="F140" s="4" t="inlineStr">
        <is>
          <t>SPM-49_Test_Cases.xlsx</t>
        </is>
      </c>
      <c r="G140" s="4" t="inlineStr">
        <is>
          <t>TC05</t>
        </is>
      </c>
      <c r="H140" s="4" t="inlineStr">
        <is>
          <t>Base seed data</t>
        </is>
      </c>
      <c r="I140" s="6" t="inlineStr">
        <is>
          <t>Kristen</t>
        </is>
      </c>
      <c r="J140" s="6" t="n"/>
      <c r="K140" s="6" t="n"/>
      <c r="L140" s="6" t="n"/>
      <c r="M140" s="6" t="n"/>
    </row>
    <row r="141">
      <c r="A141" s="4" t="inlineStr">
        <is>
          <t>SPM-49-TC19</t>
        </is>
      </c>
      <c r="B141" s="4" t="inlineStr">
        <is>
          <t>SPM-49</t>
        </is>
      </c>
      <c r="C141" s="4" t="inlineStr">
        <is>
          <t>Each session of a multi-session event is reserved against its own dates</t>
        </is>
      </c>
      <c r="D141" s="4" t="inlineStr">
        <is>
          <t>AC3, AC4, AC5</t>
        </is>
      </c>
      <c r="E141" s="4" t="inlineStr">
        <is>
          <t>Positive</t>
        </is>
      </c>
      <c r="F141" s="4" t="inlineStr">
        <is>
          <t>SPM-49_Test_Cases.xlsx</t>
        </is>
      </c>
      <c r="G141" s="4" t="inlineStr">
        <is>
          <t>TC19</t>
        </is>
      </c>
      <c r="H141" s="4" t="inlineStr">
        <is>
          <t>Base seed data</t>
        </is>
      </c>
      <c r="I141" s="6" t="inlineStr">
        <is>
          <t>Kristen</t>
        </is>
      </c>
      <c r="J141" s="6" t="n"/>
      <c r="K141" s="6" t="n"/>
      <c r="L141" s="6" t="n"/>
      <c r="M141" s="6" t="n"/>
    </row>
    <row r="142">
      <c r="A142" s="4" t="inlineStr">
        <is>
          <t>SPM-49-TC20</t>
        </is>
      </c>
      <c r="B142" s="4" t="inlineStr">
        <is>
          <t>SPM-49</t>
        </is>
      </c>
      <c r="C142" s="4" t="inlineStr">
        <is>
          <t>A saved reservation can be viewed by another Technical Support user</t>
        </is>
      </c>
      <c r="D142" s="4" t="inlineStr">
        <is>
          <t>AC6</t>
        </is>
      </c>
      <c r="E142" s="4" t="inlineStr">
        <is>
          <t>Positive</t>
        </is>
      </c>
      <c r="F142" s="4" t="inlineStr">
        <is>
          <t>SPM-49_Test_Cases.xlsx</t>
        </is>
      </c>
      <c r="G142" s="4" t="inlineStr">
        <is>
          <t>TC20</t>
        </is>
      </c>
      <c r="H142" s="4" t="inlineStr">
        <is>
          <t>Base seed data</t>
        </is>
      </c>
      <c r="I142" s="6" t="inlineStr">
        <is>
          <t>Kristen</t>
        </is>
      </c>
      <c r="J142" s="6" t="n"/>
      <c r="K142" s="6" t="n"/>
      <c r="L142" s="6" t="n"/>
      <c r="M142" s="6" t="n"/>
    </row>
    <row r="143">
      <c r="A143" s="4" t="inlineStr">
        <is>
          <t>SPM-50-TC01</t>
        </is>
      </c>
      <c r="B143" s="4" t="inlineStr">
        <is>
          <t>SPM-50</t>
        </is>
      </c>
      <c r="C143" s="4" t="inlineStr">
        <is>
          <t>Technical Support sees every requested item with its quantity and the Coordinator's technical requirements</t>
        </is>
      </c>
      <c r="D143" s="4" t="inlineStr">
        <is>
          <t>AC1</t>
        </is>
      </c>
      <c r="E143" s="4" t="inlineStr">
        <is>
          <t>Positive</t>
        </is>
      </c>
      <c r="F143" s="4" t="inlineStr">
        <is>
          <t>SPM-50_Test_Cases.xlsx</t>
        </is>
      </c>
      <c r="G143" s="4" t="inlineStr">
        <is>
          <t>TC01</t>
        </is>
      </c>
      <c r="H143" s="4" t="inlineStr">
        <is>
          <t>npm run fixtures:spm50</t>
        </is>
      </c>
      <c r="I143" s="6" t="inlineStr">
        <is>
          <t>Kristen</t>
        </is>
      </c>
      <c r="J143" s="6" t="n"/>
      <c r="K143" s="6" t="n"/>
      <c r="L143" s="6" t="n"/>
      <c r="M143" s="6" t="n"/>
    </row>
    <row r="144">
      <c r="A144" s="4" t="inlineStr">
        <is>
          <t>SPM-50-TC04</t>
        </is>
      </c>
      <c r="B144" s="4" t="inlineStr">
        <is>
          <t>SPM-50</t>
        </is>
      </c>
      <c r="C144" s="4" t="inlineStr">
        <is>
          <t>Line marked 'Cannot be provided' can be reopened to Under review</t>
        </is>
      </c>
      <c r="D144" s="4" t="inlineStr">
        <is>
          <t>AC2, AC3</t>
        </is>
      </c>
      <c r="E144" s="4" t="inlineStr">
        <is>
          <t>Positive</t>
        </is>
      </c>
      <c r="F144" s="4" t="inlineStr">
        <is>
          <t>SPM-50_Test_Cases.xlsx</t>
        </is>
      </c>
      <c r="G144" s="4" t="inlineStr">
        <is>
          <t>TC04</t>
        </is>
      </c>
      <c r="H144" s="4" t="inlineStr">
        <is>
          <t>npm run fixtures:spm50</t>
        </is>
      </c>
      <c r="I144" s="6" t="inlineStr">
        <is>
          <t>Kristen</t>
        </is>
      </c>
      <c r="J144" s="6" t="n"/>
      <c r="K144" s="6" t="n"/>
      <c r="L144" s="6" t="n"/>
      <c r="M144" s="6" t="n"/>
    </row>
    <row r="145">
      <c r="A145" s="4" t="inlineStr">
        <is>
          <t>SPM-50-TC08</t>
        </is>
      </c>
      <c r="B145" s="4" t="inlineStr">
        <is>
          <t>SPM-50</t>
        </is>
      </c>
      <c r="C145" s="4" t="inlineStr">
        <is>
          <t>Technical Support records technical notes, sees who updated the line, and can clear them</t>
        </is>
      </c>
      <c r="D145" s="4" t="inlineStr">
        <is>
          <t>AC4, AC5</t>
        </is>
      </c>
      <c r="E145" s="4" t="inlineStr">
        <is>
          <t>Positive</t>
        </is>
      </c>
      <c r="F145" s="4" t="inlineStr">
        <is>
          <t>SPM-50_Test_Cases.xlsx</t>
        </is>
      </c>
      <c r="G145" s="4" t="inlineStr">
        <is>
          <t>TC08</t>
        </is>
      </c>
      <c r="H145" s="4" t="inlineStr">
        <is>
          <t>npm run fixtures:spm50</t>
        </is>
      </c>
      <c r="I145" s="6" t="inlineStr">
        <is>
          <t>Kristen</t>
        </is>
      </c>
      <c r="J145" s="6" t="n"/>
      <c r="K145" s="6" t="n"/>
      <c r="L145" s="6" t="n"/>
      <c r="M145" s="6" t="n"/>
    </row>
    <row r="146">
      <c r="A146" s="4" t="inlineStr">
        <is>
          <t>SPM-55-TC01</t>
        </is>
      </c>
      <c r="B146" s="4" t="inlineStr">
        <is>
          <t>SPM-55</t>
        </is>
      </c>
      <c r="C146" s="4" t="inlineStr">
        <is>
          <t>Technical Support record some units of an item as under maintenance, with a reason</t>
        </is>
      </c>
      <c r="D146" s="4" t="inlineStr">
        <is>
          <t>AC1, AC2, AC6</t>
        </is>
      </c>
      <c r="E146" s="4" t="inlineStr">
        <is>
          <t>Positive</t>
        </is>
      </c>
      <c r="F146" s="4" t="inlineStr">
        <is>
          <t>SPM-55_Test_Cases.xlsx</t>
        </is>
      </c>
      <c r="G146" s="4" t="inlineStr">
        <is>
          <t>TC01</t>
        </is>
      </c>
      <c r="H146" s="4" t="inlineStr">
        <is>
          <t>npm run fixtures:spm55</t>
        </is>
      </c>
      <c r="I146" s="6" t="inlineStr">
        <is>
          <t>Kristen</t>
        </is>
      </c>
      <c r="J146" s="6" t="n"/>
      <c r="K146" s="6" t="n"/>
      <c r="L146" s="6" t="n"/>
      <c r="M146" s="6" t="inlineStr">
        <is>
          <t>Run before SPM-55-TC02, which continues from this case.</t>
        </is>
      </c>
    </row>
    <row r="147">
      <c r="A147" s="4" t="inlineStr">
        <is>
          <t>SPM-55-TC02</t>
        </is>
      </c>
      <c r="B147" s="4" t="inlineStr">
        <is>
          <t>SPM-55</t>
        </is>
      </c>
      <c r="C147" s="4" t="inlineStr">
        <is>
          <t>Units out of service are left out of the availability check and of what Reserve takes</t>
        </is>
      </c>
      <c r="D147" s="4" t="inlineStr">
        <is>
          <t>AC3</t>
        </is>
      </c>
      <c r="E147" s="4" t="inlineStr">
        <is>
          <t>Positive</t>
        </is>
      </c>
      <c r="F147" s="4" t="inlineStr">
        <is>
          <t>SPM-55_Test_Cases.xlsx</t>
        </is>
      </c>
      <c r="G147" s="4" t="inlineStr">
        <is>
          <t>TC02</t>
        </is>
      </c>
      <c r="H147" s="4" t="inlineStr">
        <is>
          <t>npm run fixtures:spm55</t>
        </is>
      </c>
      <c r="I147" s="6" t="inlineStr">
        <is>
          <t>Kristen</t>
        </is>
      </c>
      <c r="J147" s="6" t="n"/>
      <c r="K147" s="6" t="n"/>
      <c r="L147" s="6" t="n"/>
      <c r="M147" s="6" t="inlineStr">
        <is>
          <t>Run straight after SPM-55-TC01; do not reset the fixtures in between.</t>
        </is>
      </c>
    </row>
    <row r="148">
      <c r="A148" s="4" t="inlineStr">
        <is>
          <t>SPM-55-TC03</t>
        </is>
      </c>
      <c r="B148" s="4" t="inlineStr">
        <is>
          <t>SPM-55</t>
        </is>
      </c>
      <c r="C148" s="4" t="inlineStr">
        <is>
          <t>Returning every unit to available counts them in the availability check again</t>
        </is>
      </c>
      <c r="D148" s="4" t="inlineStr">
        <is>
          <t>AC5, AC3</t>
        </is>
      </c>
      <c r="E148" s="4" t="inlineStr">
        <is>
          <t>Positive</t>
        </is>
      </c>
      <c r="F148" s="4" t="inlineStr">
        <is>
          <t>SPM-55_Test_Cases.xlsx</t>
        </is>
      </c>
      <c r="G148" s="4" t="inlineStr">
        <is>
          <t>TC03</t>
        </is>
      </c>
      <c r="H148" s="4" t="inlineStr">
        <is>
          <t>npm run fixtures:spm55</t>
        </is>
      </c>
      <c r="I148" s="6" t="inlineStr">
        <is>
          <t>Kristen</t>
        </is>
      </c>
      <c r="J148" s="6" t="n"/>
      <c r="K148" s="6" t="n"/>
      <c r="L148" s="6" t="n"/>
      <c r="M148" s="6" t="n"/>
    </row>
    <row r="149">
      <c r="A149" s="4" t="inlineStr">
        <is>
          <t>SPM-55-TC06</t>
        </is>
      </c>
      <c r="B149" s="4" t="inlineStr">
        <is>
          <t>SPM-55</t>
        </is>
      </c>
      <c r="C149" s="4" t="inlineStr">
        <is>
          <t>A reservation left short is flagged for review, not cancelled, and its Coordinator notified</t>
        </is>
      </c>
      <c r="D149" s="4" t="inlineStr">
        <is>
          <t>AC4</t>
        </is>
      </c>
      <c r="E149" s="4" t="inlineStr">
        <is>
          <t>Positive</t>
        </is>
      </c>
      <c r="F149" s="4" t="inlineStr">
        <is>
          <t>SPM-55_Test_Cases.xlsx</t>
        </is>
      </c>
      <c r="G149" s="4" t="inlineStr">
        <is>
          <t>TC06</t>
        </is>
      </c>
      <c r="H149" s="4" t="inlineStr">
        <is>
          <t>npm run fixtures:spm55</t>
        </is>
      </c>
      <c r="I149" s="6" t="inlineStr">
        <is>
          <t>Kristen</t>
        </is>
      </c>
      <c r="J149" s="6" t="n"/>
      <c r="K149" s="6" t="n"/>
      <c r="L149" s="6" t="n"/>
      <c r="M149" s="6" t="n"/>
    </row>
    <row r="150">
      <c r="A150" s="4" t="inlineStr">
        <is>
          <t>SPM-86-TC01</t>
        </is>
      </c>
      <c r="B150" s="4" t="inlineStr">
        <is>
          <t>SPM-86</t>
        </is>
      </c>
      <c r="C150" s="4" t="inlineStr">
        <is>
          <t>An event whose venue and equipment are both held can be submitted for a safety check</t>
        </is>
      </c>
      <c r="D150" s="4" t="inlineStr">
        <is>
          <t>AC1, AC3, AC5</t>
        </is>
      </c>
      <c r="E150" s="4" t="inlineStr">
        <is>
          <t>Positive</t>
        </is>
      </c>
      <c r="F150" s="4" t="inlineStr">
        <is>
          <t>SPM-86_Test_Cases.xlsx</t>
        </is>
      </c>
      <c r="G150" s="4" t="inlineStr">
        <is>
          <t>TC01</t>
        </is>
      </c>
      <c r="H150" s="4" t="inlineStr">
        <is>
          <t>npm run fixtures:spm86</t>
        </is>
      </c>
      <c r="I150" s="6" t="inlineStr">
        <is>
          <t>Kristen</t>
        </is>
      </c>
      <c r="J150" s="6" t="n"/>
      <c r="K150" s="6" t="n"/>
      <c r="L150" s="6" t="n"/>
      <c r="M150" s="6" t="inlineStr">
        <is>
          <t>Run before SPM-86-TC02, SPM-86-TC03, SPM-86-TC04, which continue from this case.</t>
        </is>
      </c>
    </row>
    <row r="151">
      <c r="A151" s="4" t="inlineStr">
        <is>
          <t>SPM-86-TC02</t>
        </is>
      </c>
      <c r="B151" s="4" t="inlineStr">
        <is>
          <t>SPM-86</t>
        </is>
      </c>
      <c r="C151" s="4" t="inlineStr">
        <is>
          <t>The submission is recorded with who submitted it and when, and the event cannot be submitted again</t>
        </is>
      </c>
      <c r="D151" s="4" t="inlineStr">
        <is>
          <t>AC8, AC6</t>
        </is>
      </c>
      <c r="E151" s="4" t="inlineStr">
        <is>
          <t>Positive</t>
        </is>
      </c>
      <c r="F151" s="4" t="inlineStr">
        <is>
          <t>SPM-86_Test_Cases.xlsx</t>
        </is>
      </c>
      <c r="G151" s="4" t="inlineStr">
        <is>
          <t>TC02</t>
        </is>
      </c>
      <c r="H151" s="4" t="inlineStr">
        <is>
          <t>npm run fixtures:spm86</t>
        </is>
      </c>
      <c r="I151" s="6" t="inlineStr">
        <is>
          <t>Kristen</t>
        </is>
      </c>
      <c r="J151" s="6" t="n"/>
      <c r="K151" s="6" t="n"/>
      <c r="L151" s="6" t="n"/>
      <c r="M151" s="6" t="inlineStr">
        <is>
          <t>Run straight after SPM-86-TC01; do not reset the fixtures in between.</t>
        </is>
      </c>
    </row>
    <row r="152">
      <c r="A152" s="4" t="inlineStr">
        <is>
          <t>SPM-86-TC03</t>
        </is>
      </c>
      <c r="B152" s="4" t="inlineStr">
        <is>
          <t>SPM-86</t>
        </is>
      </c>
      <c r="C152" s="4" t="inlineStr">
        <is>
          <t>The Event Organiser sees that their event is in Safety review</t>
        </is>
      </c>
      <c r="D152" s="4" t="inlineStr">
        <is>
          <t>AC4</t>
        </is>
      </c>
      <c r="E152" s="4" t="inlineStr">
        <is>
          <t>Positive</t>
        </is>
      </c>
      <c r="F152" s="4" t="inlineStr">
        <is>
          <t>SPM-86_Test_Cases.xlsx</t>
        </is>
      </c>
      <c r="G152" s="4" t="inlineStr">
        <is>
          <t>TC03</t>
        </is>
      </c>
      <c r="H152" s="4" t="inlineStr">
        <is>
          <t>npm run fixtures:spm86</t>
        </is>
      </c>
      <c r="I152" s="6" t="inlineStr">
        <is>
          <t>Kristen</t>
        </is>
      </c>
      <c r="J152" s="6" t="n"/>
      <c r="K152" s="6" t="n"/>
      <c r="L152" s="6" t="n"/>
      <c r="M152" s="6" t="inlineStr">
        <is>
          <t>Run straight after SPM-86-TC01; do not reset the fixtures in between.</t>
        </is>
      </c>
    </row>
    <row r="153">
      <c r="A153" s="4" t="inlineStr">
        <is>
          <t>SPM-86-TC04</t>
        </is>
      </c>
      <c r="B153" s="4" t="inlineStr">
        <is>
          <t>SPM-86</t>
        </is>
      </c>
      <c r="C153" s="4" t="inlineStr">
        <is>
          <t>Technical Support and the Operations Manager see the Safety review status</t>
        </is>
      </c>
      <c r="D153" s="4" t="inlineStr">
        <is>
          <t>AC4</t>
        </is>
      </c>
      <c r="E153" s="4" t="inlineStr">
        <is>
          <t>Positive</t>
        </is>
      </c>
      <c r="F153" s="4" t="inlineStr">
        <is>
          <t>SPM-86_Test_Cases.xlsx</t>
        </is>
      </c>
      <c r="G153" s="4" t="inlineStr">
        <is>
          <t>TC04</t>
        </is>
      </c>
      <c r="H153" s="4" t="inlineStr">
        <is>
          <t>npm run fixtures:spm86</t>
        </is>
      </c>
      <c r="I153" s="6" t="inlineStr">
        <is>
          <t>Kristen</t>
        </is>
      </c>
      <c r="J153" s="6" t="n"/>
      <c r="K153" s="6" t="n"/>
      <c r="L153" s="6" t="n"/>
      <c r="M153" s="6" t="inlineStr">
        <is>
          <t>Run straight after SPM-86-TC01; do not reset the fixtures in between.</t>
        </is>
      </c>
    </row>
    <row r="154">
      <c r="A154" s="4" t="inlineStr">
        <is>
          <t>SPM-87-TC01</t>
        </is>
      </c>
      <c r="B154" s="4" t="inlineStr">
        <is>
          <t>SPM-87</t>
        </is>
      </c>
      <c r="C154" s="4" t="inlineStr">
        <is>
          <t>The Safety Checks list shows events awaiting a check, earliest event date first</t>
        </is>
      </c>
      <c r="D154" s="4" t="inlineStr">
        <is>
          <t>AC1</t>
        </is>
      </c>
      <c r="E154" s="4" t="inlineStr">
        <is>
          <t>Positive</t>
        </is>
      </c>
      <c r="F154" s="4" t="inlineStr">
        <is>
          <t>SPM-87_Test_Cases.xlsx</t>
        </is>
      </c>
      <c r="G154" s="4" t="inlineStr">
        <is>
          <t>TC01</t>
        </is>
      </c>
      <c r="H154" s="4" t="inlineStr">
        <is>
          <t>npm run fixtures:spm87</t>
        </is>
      </c>
      <c r="I154" s="6" t="inlineStr">
        <is>
          <t>Kristen</t>
        </is>
      </c>
      <c r="J154" s="6" t="n"/>
      <c r="K154" s="6" t="n"/>
      <c r="L154" s="6" t="n"/>
      <c r="M154" s="6" t="n"/>
    </row>
    <row r="155">
      <c r="A155" s="4" t="inlineStr">
        <is>
          <t>SPM-87-TC02</t>
        </is>
      </c>
      <c r="B155" s="4" t="inlineStr">
        <is>
          <t>SPM-87</t>
        </is>
      </c>
      <c r="C155" s="4" t="inlineStr">
        <is>
          <t>The review shows attendance, each venue with its capacity, layout, opening hours and unavailable periods, accessibility needs and equipment</t>
        </is>
      </c>
      <c r="D155" s="4" t="inlineStr">
        <is>
          <t>AC2</t>
        </is>
      </c>
      <c r="E155" s="4" t="inlineStr">
        <is>
          <t>Positive</t>
        </is>
      </c>
      <c r="F155" s="4" t="inlineStr">
        <is>
          <t>SPM-87_Test_Cases.xlsx</t>
        </is>
      </c>
      <c r="G155" s="4" t="inlineStr">
        <is>
          <t>TC02</t>
        </is>
      </c>
      <c r="H155" s="4" t="inlineStr">
        <is>
          <t>npm run fixtures:spm87</t>
        </is>
      </c>
      <c r="I155" s="6" t="inlineStr">
        <is>
          <t>Kristen</t>
        </is>
      </c>
      <c r="J155" s="6" t="n"/>
      <c r="K155" s="6" t="n"/>
      <c r="L155" s="6" t="n"/>
      <c r="M155" s="6" t="n"/>
    </row>
    <row r="156">
      <c r="A156" s="4" t="inlineStr">
        <is>
          <t>SPM-87-TC03</t>
        </is>
      </c>
      <c r="B156" s="4" t="inlineStr">
        <is>
          <t>SPM-87</t>
        </is>
      </c>
      <c r="C156" s="4" t="inlineStr">
        <is>
          <t>The Safety Officer approves an event, which becomes Safety approved with the decision recorded</t>
        </is>
      </c>
      <c r="D156" s="4" t="inlineStr">
        <is>
          <t>AC3, AC7, AC10, AC11</t>
        </is>
      </c>
      <c r="E156" s="4" t="inlineStr">
        <is>
          <t>Positive</t>
        </is>
      </c>
      <c r="F156" s="4" t="inlineStr">
        <is>
          <t>SPM-87_Test_Cases.xlsx</t>
        </is>
      </c>
      <c r="G156" s="4" t="inlineStr">
        <is>
          <t>TC03</t>
        </is>
      </c>
      <c r="H156" s="4" t="inlineStr">
        <is>
          <t>npm run fixtures:spm87</t>
        </is>
      </c>
      <c r="I156" s="6" t="inlineStr">
        <is>
          <t>Kristen</t>
        </is>
      </c>
      <c r="J156" s="6" t="n"/>
      <c r="K156" s="6" t="n"/>
      <c r="L156" s="6" t="n"/>
      <c r="M156" s="6" t="inlineStr">
        <is>
          <t>Run before SPM-87-TC04, SPM-87-TC05, which continue from this case.</t>
        </is>
      </c>
    </row>
    <row r="157">
      <c r="A157" s="4" t="inlineStr">
        <is>
          <t>SPM-87-TC04</t>
        </is>
      </c>
      <c r="B157" s="4" t="inlineStr">
        <is>
          <t>SPM-87</t>
        </is>
      </c>
      <c r="C157" s="4" t="inlineStr">
        <is>
          <t>After approval the assigned Coordinator sees the decision and can go on to confirm the event</t>
        </is>
      </c>
      <c r="D157" s="4" t="inlineStr">
        <is>
          <t>AC7, AC10</t>
        </is>
      </c>
      <c r="E157" s="4" t="inlineStr">
        <is>
          <t>Positive</t>
        </is>
      </c>
      <c r="F157" s="4" t="inlineStr">
        <is>
          <t>SPM-87_Test_Cases.xlsx</t>
        </is>
      </c>
      <c r="G157" s="4" t="inlineStr">
        <is>
          <t>TC04</t>
        </is>
      </c>
      <c r="H157" s="4" t="inlineStr">
        <is>
          <t>npm run fixtures:spm87</t>
        </is>
      </c>
      <c r="I157" s="6" t="inlineStr">
        <is>
          <t>Kristen</t>
        </is>
      </c>
      <c r="J157" s="6" t="n"/>
      <c r="K157" s="6" t="n"/>
      <c r="L157" s="6" t="n"/>
      <c r="M157" s="6" t="inlineStr">
        <is>
          <t>Run straight after SPM-87-TC03; do not reset the fixtures in between.</t>
        </is>
      </c>
    </row>
    <row r="158">
      <c r="A158" s="4" t="inlineStr">
        <is>
          <t>SPM-87-TC05</t>
        </is>
      </c>
      <c r="B158" s="4" t="inlineStr">
        <is>
          <t>SPM-87</t>
        </is>
      </c>
      <c r="C158" s="4" t="inlineStr">
        <is>
          <t>The Event Organiser sees that their event is Safety approved but not the safety details</t>
        </is>
      </c>
      <c r="D158" s="4" t="inlineStr">
        <is>
          <t>AC7</t>
        </is>
      </c>
      <c r="E158" s="4" t="inlineStr">
        <is>
          <t>Positive</t>
        </is>
      </c>
      <c r="F158" s="4" t="inlineStr">
        <is>
          <t>SPM-87_Test_Cases.xlsx</t>
        </is>
      </c>
      <c r="G158" s="4" t="inlineStr">
        <is>
          <t>TC05</t>
        </is>
      </c>
      <c r="H158" s="4" t="inlineStr">
        <is>
          <t>npm run fixtures:spm87</t>
        </is>
      </c>
      <c r="I158" s="6" t="inlineStr">
        <is>
          <t>Kristen</t>
        </is>
      </c>
      <c r="J158" s="6" t="n"/>
      <c r="K158" s="6" t="n"/>
      <c r="L158" s="6" t="n"/>
      <c r="M158" s="6" t="inlineStr">
        <is>
          <t>Run straight after SPM-87-TC03; do not reset the fixtures in between.</t>
        </is>
      </c>
    </row>
    <row r="159">
      <c r="A159" s="4" t="inlineStr">
        <is>
          <t>SPM-87-TC06</t>
        </is>
      </c>
      <c r="B159" s="4" t="inlineStr">
        <is>
          <t>SPM-87</t>
        </is>
      </c>
      <c r="C159" s="4" t="inlineStr">
        <is>
          <t>Requesting changes returns the event to Planning with the changes required recorded for the Coordinator</t>
        </is>
      </c>
      <c r="D159" s="4" t="inlineStr">
        <is>
          <t>AC5, AC8, AC10</t>
        </is>
      </c>
      <c r="E159" s="4" t="inlineStr">
        <is>
          <t>Positive</t>
        </is>
      </c>
      <c r="F159" s="4" t="inlineStr">
        <is>
          <t>SPM-87_Test_Cases.xlsx</t>
        </is>
      </c>
      <c r="G159" s="4" t="inlineStr">
        <is>
          <t>TC06</t>
        </is>
      </c>
      <c r="H159" s="4" t="inlineStr">
        <is>
          <t>npm run fixtures:spm87</t>
        </is>
      </c>
      <c r="I159" s="6" t="inlineStr">
        <is>
          <t>Kristen</t>
        </is>
      </c>
      <c r="J159" s="6" t="n"/>
      <c r="K159" s="6" t="n"/>
      <c r="L159" s="6" t="n"/>
      <c r="M159" s="6" t="n"/>
    </row>
    <row r="160">
      <c r="A160" s="4" t="inlineStr">
        <is>
          <t>SPM-87-TC07</t>
        </is>
      </c>
      <c r="B160" s="4" t="inlineStr">
        <is>
          <t>SPM-87</t>
        </is>
      </c>
      <c r="C160" s="4" t="inlineStr">
        <is>
          <t>Rejecting the safety arrangement returns the event to Planning with the reason recorded for the Coordinator</t>
        </is>
      </c>
      <c r="D160" s="4" t="inlineStr">
        <is>
          <t>AC4, AC8, AC10</t>
        </is>
      </c>
      <c r="E160" s="4" t="inlineStr">
        <is>
          <t>Positive</t>
        </is>
      </c>
      <c r="F160" s="4" t="inlineStr">
        <is>
          <t>SPM-87_Test_Cases.xlsx</t>
        </is>
      </c>
      <c r="G160" s="4" t="inlineStr">
        <is>
          <t>TC07</t>
        </is>
      </c>
      <c r="H160" s="4" t="inlineStr">
        <is>
          <t>npm run fixtures:spm87</t>
        </is>
      </c>
      <c r="I160" s="6" t="inlineStr">
        <is>
          <t>Kristen</t>
        </is>
      </c>
      <c r="J160" s="6" t="n"/>
      <c r="K160" s="6" t="n"/>
      <c r="L160" s="6" t="n"/>
      <c r="M160" s="6" t="n"/>
    </row>
    <row r="161">
      <c r="A161" s="4" t="inlineStr">
        <is>
          <t>SPM-87-TC12</t>
        </is>
      </c>
      <c r="B161" s="4" t="inlineStr">
        <is>
          <t>SPM-87</t>
        </is>
      </c>
      <c r="C161" s="4" t="inlineStr">
        <is>
          <t>[BLOCKED by SPM-71] The assigned Coordinator is notified of the decision with the changes required</t>
        </is>
      </c>
      <c r="D161" s="4" t="inlineStr">
        <is>
          <t>AC9</t>
        </is>
      </c>
      <c r="E161" s="4" t="inlineStr">
        <is>
          <t>Positive</t>
        </is>
      </c>
      <c r="F161" s="4" t="inlineStr">
        <is>
          <t>SPM-87_Test_Cases.xlsx</t>
        </is>
      </c>
      <c r="G161" s="4" t="inlineStr">
        <is>
          <t>TC12</t>
        </is>
      </c>
      <c r="H161" s="4" t="inlineStr">
        <is>
          <t>npm run fixtures:spm87</t>
        </is>
      </c>
      <c r="I161" s="6" t="inlineStr">
        <is>
          <t>Kristen</t>
        </is>
      </c>
      <c r="J161" s="6" t="n"/>
      <c r="K161" s="6" t="n"/>
      <c r="L161" s="6" t="n"/>
      <c r="M161" s="6" t="n"/>
    </row>
    <row r="162">
      <c r="A162" s="4" t="inlineStr">
        <is>
          <t>SPM-88-TC03</t>
        </is>
      </c>
      <c r="B162" s="4" t="inlineStr">
        <is>
          <t>SPM-88</t>
        </is>
      </c>
      <c r="C162" s="4" t="inlineStr">
        <is>
          <t>The Coordinator flags the arrangements a returned safety check affects, and nothing is cancelled or changed</t>
        </is>
      </c>
      <c r="D162" s="4" t="inlineStr">
        <is>
          <t>AC3</t>
        </is>
      </c>
      <c r="E162" s="4" t="inlineStr">
        <is>
          <t>Positive</t>
        </is>
      </c>
      <c r="F162" s="4" t="inlineStr">
        <is>
          <t>SPM-88_Test_Cases.xlsx</t>
        </is>
      </c>
      <c r="G162" s="4" t="inlineStr">
        <is>
          <t>TC03</t>
        </is>
      </c>
      <c r="H162" s="4" t="inlineStr">
        <is>
          <t>npm run fixtures:spm88</t>
        </is>
      </c>
      <c r="I162" s="6" t="inlineStr">
        <is>
          <t>Kristen</t>
        </is>
      </c>
      <c r="J162" s="6" t="n"/>
      <c r="K162" s="6" t="n"/>
      <c r="L162" s="6" t="n"/>
      <c r="M162" s="6" t="n"/>
    </row>
    <row r="163">
      <c r="A163" s="4" t="inlineStr">
        <is>
          <t>SPM-88-TC04</t>
        </is>
      </c>
      <c r="B163" s="4" t="inlineStr">
        <is>
          <t>SPM-88</t>
        </is>
      </c>
      <c r="C163" s="4" t="inlineStr">
        <is>
          <t>After reviewing the flagged arrangements the Coordinator submits the event for a safety check again</t>
        </is>
      </c>
      <c r="D163" s="4" t="inlineStr">
        <is>
          <t>AC4</t>
        </is>
      </c>
      <c r="E163" s="4" t="inlineStr">
        <is>
          <t>Positive</t>
        </is>
      </c>
      <c r="F163" s="4" t="inlineStr">
        <is>
          <t>SPM-88_Test_Cases.xlsx</t>
        </is>
      </c>
      <c r="G163" s="4" t="inlineStr">
        <is>
          <t>TC04</t>
        </is>
      </c>
      <c r="H163" s="4" t="inlineStr">
        <is>
          <t>npm run fixtures:spm88</t>
        </is>
      </c>
      <c r="I163" s="6" t="inlineStr">
        <is>
          <t>Kristen</t>
        </is>
      </c>
      <c r="J163" s="6" t="n"/>
      <c r="K163" s="6" t="n"/>
      <c r="L163" s="6" t="n"/>
      <c r="M163" s="6" t="n"/>
    </row>
    <row r="164">
      <c r="A164" s="4" t="inlineStr">
        <is>
          <t>SPM-88-TC06</t>
        </is>
      </c>
      <c r="B164" s="4" t="inlineStr">
        <is>
          <t>SPM-88</t>
        </is>
      </c>
      <c r="C164" s="4" t="inlineStr">
        <is>
          <t>When the Safety Officer rejects the safety arrangement the event returns to Planning and the Coordinator sees why</t>
        </is>
      </c>
      <c r="D164" s="4" t="inlineStr">
        <is>
          <t>AC2, AC1</t>
        </is>
      </c>
      <c r="E164" s="4" t="inlineStr">
        <is>
          <t>Positive</t>
        </is>
      </c>
      <c r="F164" s="4" t="inlineStr">
        <is>
          <t>SPM-88_Test_Cases.xlsx</t>
        </is>
      </c>
      <c r="G164" s="4" t="inlineStr">
        <is>
          <t>TC06</t>
        </is>
      </c>
      <c r="H164" s="4" t="inlineStr">
        <is>
          <t>npm run fixtures:spm88</t>
        </is>
      </c>
      <c r="I164" s="6" t="inlineStr">
        <is>
          <t>Kristen</t>
        </is>
      </c>
      <c r="J164" s="6" t="n"/>
      <c r="K164" s="6" t="n"/>
      <c r="L164" s="6" t="n"/>
      <c r="M164" s="6" t="n"/>
    </row>
    <row r="165">
      <c r="A165" s="4" t="inlineStr">
        <is>
          <t>SPM-88-TC07</t>
        </is>
      </c>
      <c r="B165" s="4" t="inlineStr">
        <is>
          <t>SPM-88</t>
        </is>
      </c>
      <c r="C165" s="4" t="inlineStr">
        <is>
          <t>A significant change to a Safety approved event removes the approval and returns it to Planning</t>
        </is>
      </c>
      <c r="D165" s="4" t="inlineStr">
        <is>
          <t>AC5</t>
        </is>
      </c>
      <c r="E165" s="4" t="inlineStr">
        <is>
          <t>Positive</t>
        </is>
      </c>
      <c r="F165" s="4" t="inlineStr">
        <is>
          <t>SPM-88_Test_Cases.xlsx</t>
        </is>
      </c>
      <c r="G165" s="4" t="inlineStr">
        <is>
          <t>TC07</t>
        </is>
      </c>
      <c r="H165" s="4" t="inlineStr">
        <is>
          <t>npm run fixtures:spm88</t>
        </is>
      </c>
      <c r="I165" s="6" t="inlineStr">
        <is>
          <t>Kristen</t>
        </is>
      </c>
      <c r="J165" s="6" t="n"/>
      <c r="K165" s="6" t="n"/>
      <c r="L165" s="6" t="n"/>
      <c r="M165" s="6" t="inlineStr">
        <is>
          <t>Run before SPM-88-TC08, which continues from this case.</t>
        </is>
      </c>
    </row>
    <row r="166">
      <c r="A166" s="4" t="inlineStr">
        <is>
          <t>SPM-88-TC08</t>
        </is>
      </c>
      <c r="B166" s="4" t="inlineStr">
        <is>
          <t>SPM-88</t>
        </is>
      </c>
      <c r="C166" s="4" t="inlineStr">
        <is>
          <t>An event whose safety approval no longer applies cannot be confirmed, and the safety check is named</t>
        </is>
      </c>
      <c r="D166" s="4" t="inlineStr">
        <is>
          <t>AC8</t>
        </is>
      </c>
      <c r="E166" s="4" t="inlineStr">
        <is>
          <t>Negative</t>
        </is>
      </c>
      <c r="F166" s="4" t="inlineStr">
        <is>
          <t>SPM-88_Test_Cases.xlsx</t>
        </is>
      </c>
      <c r="G166" s="4" t="inlineStr">
        <is>
          <t>TC08</t>
        </is>
      </c>
      <c r="H166" s="4" t="inlineStr">
        <is>
          <t>npm run fixtures:spm88</t>
        </is>
      </c>
      <c r="I166" s="6" t="inlineStr">
        <is>
          <t>Kristen</t>
        </is>
      </c>
      <c r="J166" s="6" t="n"/>
      <c r="K166" s="6" t="n"/>
      <c r="L166" s="6" t="n"/>
      <c r="M166" s="6" t="inlineStr">
        <is>
          <t>Run straight after SPM-88-TC07; do not reset the fixtures in between.</t>
        </is>
      </c>
    </row>
    <row r="167">
      <c r="A167" s="4" t="inlineStr">
        <is>
          <t>SPM-88-TC09</t>
        </is>
      </c>
      <c r="B167" s="4" t="inlineStr">
        <is>
          <t>SPM-88</t>
        </is>
      </c>
      <c r="C167" s="4" t="inlineStr">
        <is>
          <t>An ordinary edit keeps the safety approval, and the Safety approved event confirms as before</t>
        </is>
      </c>
      <c r="D167" s="4" t="inlineStr">
        <is>
          <t>AC7, AC9</t>
        </is>
      </c>
      <c r="E167" s="4" t="inlineStr">
        <is>
          <t>Positive</t>
        </is>
      </c>
      <c r="F167" s="4" t="inlineStr">
        <is>
          <t>SPM-88_Test_Cases.xlsx</t>
        </is>
      </c>
      <c r="G167" s="4" t="inlineStr">
        <is>
          <t>TC09</t>
        </is>
      </c>
      <c r="H167" s="4" t="inlineStr">
        <is>
          <t>npm run fixtures:spm88</t>
        </is>
      </c>
      <c r="I167" s="6" t="inlineStr">
        <is>
          <t>Kristen</t>
        </is>
      </c>
      <c r="J167" s="6" t="n"/>
      <c r="K167" s="6" t="n"/>
      <c r="L167" s="6" t="n"/>
      <c r="M167" s="6" t="n"/>
    </row>
    <row r="168">
      <c r="A168" s="4" t="inlineStr">
        <is>
          <t>SPM-88-TC10</t>
        </is>
      </c>
      <c r="B168" s="4" t="inlineStr">
        <is>
          <t>SPM-88</t>
        </is>
      </c>
      <c r="C168" s="4" t="inlineStr">
        <is>
          <t>A significant equipment change while the event is in Safety review closes the pending check</t>
        </is>
      </c>
      <c r="D168" s="4" t="inlineStr">
        <is>
          <t>AC6</t>
        </is>
      </c>
      <c r="E168" s="4" t="inlineStr">
        <is>
          <t>Positive</t>
        </is>
      </c>
      <c r="F168" s="4" t="inlineStr">
        <is>
          <t>SPM-88_Test_Cases.xlsx</t>
        </is>
      </c>
      <c r="G168" s="4" t="inlineStr">
        <is>
          <t>TC10</t>
        </is>
      </c>
      <c r="H168" s="4" t="inlineStr">
        <is>
          <t>npm run fixtures:spm88</t>
        </is>
      </c>
      <c r="I168" s="6" t="inlineStr">
        <is>
          <t>Kristen</t>
        </is>
      </c>
      <c r="J168" s="6" t="n"/>
      <c r="K168" s="6" t="n"/>
      <c r="L168" s="6" t="n"/>
      <c r="M168" s="6" t="n"/>
    </row>
  </sheetData>
  <autoFilter ref="A4:M168"/>
  <conditionalFormatting sqref="J5:J168">
    <cfRule type="cellIs" priority="1" operator="equal" dxfId="8">
      <formula>"Pass"</formula>
    </cfRule>
    <cfRule type="cellIs" priority="2" operator="equal" dxfId="9">
      <formula>"Fail"</formula>
    </cfRule>
    <cfRule type="cellIs" priority="3" operator="equal" dxfId="10">
      <formula>"Changed by design"</formula>
    </cfRule>
    <cfRule type="cellIs" priority="4" operator="equal" dxfId="11">
      <formula>"Blocked"</formula>
    </cfRule>
  </conditionalFormatting>
  <dataValidations count="2">
    <dataValidation sqref="I5:I168" showDropDown="0" showInputMessage="0" showErrorMessage="0" allowBlank="1" type="list">
      <formula1>"Kayalvizhi,Jordan,Janelle,Sammi,Kristen"</formula1>
    </dataValidation>
    <dataValidation sqref="J5:J168" showDropDown="0" showInputMessage="0" showErrorMessage="0" allowBlank="1" type="list">
      <formula1>"Pass,Fail,Changed by design,Blocked"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5" customWidth="1" style="18" min="1" max="1"/>
    <col width="13" customWidth="1" style="18" min="2" max="2"/>
    <col width="15" customWidth="1" style="18" min="3" max="3"/>
    <col width="12" customWidth="1" style="18" min="4" max="4"/>
    <col width="36" customWidth="1" style="18" min="5" max="5"/>
    <col width="48" customWidth="1" style="18" min="6" max="6"/>
    <col width="34" customWidth="1" style="18" min="7" max="7"/>
    <col width="60" customWidth="1" style="18" min="8" max="8"/>
    <col width="90" customWidth="1" style="18" min="9" max="9"/>
  </cols>
  <sheetData>
    <row r="1">
      <c r="A1" s="1" t="inlineStr">
        <is>
          <t>Sprint 3 regression: rewritten cases</t>
        </is>
      </c>
    </row>
    <row r="2">
      <c r="A2" s="2" t="inlineStr">
        <is>
          <t>Cases whose story workbook is out of date, rewritten for this run. Follow these steps instead of the workbook's, and record the result on 'Retested cases' (the row ending in -R). Each was run on a copy of the shared database on 16 Oct 2026 with the story's fixtures loaded, and the expected results are quoted from the screen.</t>
        </is>
      </c>
    </row>
    <row r="4">
      <c r="A4" s="14" t="inlineStr">
        <is>
          <t>Regression ID</t>
        </is>
      </c>
      <c r="B4" s="14" t="inlineStr">
        <is>
          <t>Replaces</t>
        </is>
      </c>
      <c r="C4" s="14" t="inlineStr">
        <is>
          <t>Changed by</t>
        </is>
      </c>
      <c r="D4" s="14" t="inlineStr">
        <is>
          <t>Linked AC</t>
        </is>
      </c>
      <c r="E4" s="14" t="inlineStr">
        <is>
          <t>Title</t>
        </is>
      </c>
      <c r="F4" s="14" t="inlineStr">
        <is>
          <t>Preconditions</t>
        </is>
      </c>
      <c r="G4" s="14" t="inlineStr">
        <is>
          <t>Test data</t>
        </is>
      </c>
      <c r="H4" s="14" t="inlineStr">
        <is>
          <t>Steps</t>
        </is>
      </c>
      <c r="I4" s="14" t="inlineStr">
        <is>
          <t>Expected results</t>
        </is>
      </c>
    </row>
    <row r="5">
      <c r="A5" s="4" t="inlineStr">
        <is>
          <t>SPM-54-TC04-R</t>
        </is>
      </c>
      <c r="B5" s="4" t="inlineStr">
        <is>
          <t>SPM-54-TC04</t>
        </is>
      </c>
      <c r="C5" s="4" t="inlineStr">
        <is>
          <t>SPM-93, SPM-90, SPM-82</t>
        </is>
      </c>
      <c r="D5" s="4" t="inlineStr">
        <is>
          <t>AC1, AC3</t>
        </is>
      </c>
      <c r="E5" s="4" t="inlineStr">
        <is>
          <t>Requesting a venue booking for an Approved event moves it to Planning</t>
        </is>
      </c>
      <c r="F5" s="4" t="inlineStr">
        <is>
          <t>Run npm run fixtures:spm54 before and after this case. 'SPM54 Pearl Delta Supplier Briefing' is Approved, assigned to Daniel Tan, 25 Aug 2027 09:00-12:00, 50 people, Theatre, with no booking requests. Do not press 'Search' on Find a venue in this case. Logged in as Daniel Tan.</t>
        </is>
      </c>
      <c r="G5" s="4" t="inlineStr">
        <is>
          <t>Event: SPM54 Pearl Delta Supplier Briefing (Approved) | Venue: Orchard Seminar Room (ORC-SEM) | 25 Aug 2027, 09:00-12:00</t>
        </is>
      </c>
      <c r="H5" s="4" t="inlineStr">
        <is>
          <t>1. Click 'All Events' in the sidebar and open 'SPM54 Pearl Delta Supplier Briefing'
2. Click the 'Venue' tab
3. Click 'Request booking' on 'Orchard Seminar Room (ORC-SEM)'
4. Click 'Submit request'
5. Click 'Continue' in the dialog
6. Click 'Back to Venue'
7. Click the 'Overview' tab</t>
        </is>
      </c>
      <c r="I5" s="4" t="inlineStr">
        <is>
          <t>Step 1: The event page shows the 'Approved' status badge.
Step 3: The form shows Event 'SPM54 Pearl Delta Supplier Briefing', Venue 'Orchard Seminar Room (ORC-SEM)', and is filled in with Main programme, Expected attendance 50, Room layout Theatre, Date 25 Aug 2027, 09:00 to 12:00, reading 'Setup: 08:00–09:00 (60 min)', 'Turnaround: 12:00–12:30 (30 min)', 'Room in use: 08:00–12:30'.
Step 4: A dialog 'Begin planning?' reads 'This is the first venue or equipment action for this event, so it will move from Approved to Planning. The organiser and ConnectSphere staff will see this status. This cannot be undone.' with 'Cancel' and 'Continue'. Nothing has been sent yet.
Step 5: A green alert 'Booking request sent to Venue Staff.' reads 'It is Pending until Venue Staff review it.' Below it, 'Planning has started' reads 'This event has moved from Approved to Planning now that a venue booking has been requested.'
Step 6: The 'Booking requests' card lists 'Orchard Seminar Room (ORC-SEM)' with 'Main programme · 25 Aug 2027, 09:00–12:00 · Theatre · 50 attendees', 'Hold expires Hold expires' followed by the date and time 7 days after the request was sent, and the badge 'Pending'.
Step 7: The status badge reads 'Planning', and so does Status in the Details card.</t>
        </is>
      </c>
    </row>
    <row r="6">
      <c r="A6" s="4" t="inlineStr">
        <is>
          <t>SPM-33-TC01-R</t>
        </is>
      </c>
      <c r="B6" s="4" t="inlineStr">
        <is>
          <t>SPM-33-TC01</t>
        </is>
      </c>
      <c r="C6" s="4" t="inlineStr">
        <is>
          <t>SPM-88</t>
        </is>
      </c>
      <c r="D6" s="4" t="inlineStr">
        <is>
          <t>AC1, AC2, AC3, AC6, AC7, AC9, AC11</t>
        </is>
      </c>
      <c r="E6" s="4" t="inlineStr">
        <is>
          <t>Every venue booking, equipment line and the safety check are listed with their own status, and Confirm names everything outstanding, the safety check included</t>
        </is>
      </c>
      <c r="F6" s="4" t="inlineStr">
        <is>
          <t>The SPM-33 fixtures are loaded (npm run fixtures:spm33). 'SPM33 Two Room Conference' is in Planning, assigned to Daniel Tan, with Marina Auditorium (Approved), Orchard Studio (Pending), Handheld Wireless Mic (Reserved) and Audio Mixing Desk (Requested). It has never been submitted for a safety check. Logged in as Daniel Tan. Confirmation is refused, so nothing changes.</t>
        </is>
      </c>
      <c r="G6" s="4" t="inlineStr">
        <is>
          <t>Event: SPM33 Two Room Conference (Planning)</t>
        </is>
      </c>
      <c r="H6" s="4" t="inlineStr">
        <is>
          <t>1. Click 'All Events' in the sidebar and open 'SPM33 Two Room Conference'
2. Click the 'Readiness' tab
3. Click the 'Overview' tab
4. Click 'Confirm event'
5. Click 'Confirm event' in the dialog</t>
        </is>
      </c>
      <c r="I6" s="4" t="inlineStr">
        <is>
          <t>Step 1: The status badge reads 'Planning' and there is a 'Readiness' tab after 'Equipment'.
Step 2: '3 arrangements still block confirmation' is shown. 'Marina Auditorium' (Booking status: Approved) and 'Handheld Wireless Mic' (Request status: Reserved) are 'Complete'. 'Orchard Studio' is 'Outstanding': 'Orchard Studio for this event is still awaiting a decision from Venue Staff.' 'Audio Mixing Desk' is 'Outstanding': 'Audio Mixing Desk for this event is not reserved yet.' Both have 'Mark as not required'. 'Registration setup' is 'Not required': 'Registration is not enabled for this event.' 'Operational Safety Check' is 'Outstanding' (Safety check status: Not submitted): 'The Operational Safety Check has not been submitted yet.', with no 'Mark as not required' button.
Step 5: The event is NOT confirmed. 'This event cannot be confirmed yet: Orchard Studio for this event is still awaiting a decision from Venue Staff; Audio Mixing Desk for this event is not reserved yet; the Operational Safety Check has not been submitted yet.' is shown. The status badge still reads 'Planning'.</t>
        </is>
      </c>
    </row>
    <row r="7">
      <c r="A7" s="4" t="inlineStr">
        <is>
          <t>SPM-33-TC05-R</t>
        </is>
      </c>
      <c r="B7" s="4" t="inlineStr">
        <is>
          <t>SPM-33-TC05</t>
        </is>
      </c>
      <c r="C7" s="4" t="inlineStr">
        <is>
          <t>SPM-88</t>
        </is>
      </c>
      <c r="D7" s="4" t="inlineStr">
        <is>
          <t>AC4, AC11</t>
        </is>
      </c>
      <c r="E7" s="4" t="inlineStr">
        <is>
          <t>A flagged venue booking and equipment reservation are shown as outstanding, with why, and prevent confirmation along with the safety check</t>
        </is>
      </c>
      <c r="F7" s="4" t="inlineStr">
        <is>
          <t>The SPM-33 fixtures are loaded. 'SPM33 Date Changed' is in Planning, assigned to Daniel Tan; its Orchard Seminar Room booking (Approved) and Handheld Wireless Mic (Reserved) are both flagged because the date changed. Logged in as Daniel Tan. Nothing changes.</t>
        </is>
      </c>
      <c r="G7" s="4" t="inlineStr">
        <is>
          <t>Event: SPM33 Date Changed (Planning)</t>
        </is>
      </c>
      <c r="H7" s="4" t="inlineStr">
        <is>
          <t>1. Click 'All Events' in the sidebar and open 'SPM33 Date Changed'
2. Click the 'Readiness' tab
3. Click the 'Overview' tab
4. Click 'Confirm event'
5. Click 'Confirm event' in the dialog</t>
        </is>
      </c>
      <c r="I7" s="4" t="inlineStr">
        <is>
          <t>Step 2: '3 arrangements still block confirmation' is shown. 'Orchard Seminar Room' (Booking status: Approved) is 'Outstanding': 'Orchard Seminar Room for this event is flagged for review: the date or time changed.', with 'Review in Flagged Arrangements', 'Keep booking' and 'Mark as not required'. 'Handheld Wireless Mic' (Request status: Reserved) is 'Outstanding' and flagged the same way, with 'Keep reservation'. 'Operational Safety Check' is 'Outstanding' (Not submitted).
Step 5: The event is NOT confirmed. 'This event cannot be confirmed yet: Orchard Seminar Room for this event is flagged for review: the date or time changed; Handheld Wireless Mic for this event is flagged for review: the date or time changed; the Operational Safety Check has not been submitted yet.' is shown. The status badge still reads 'Planning'.</t>
        </is>
      </c>
    </row>
    <row r="8">
      <c r="A8" s="4" t="inlineStr">
        <is>
          <t>SPM-33-TC08-R</t>
        </is>
      </c>
      <c r="B8" s="4" t="inlineStr">
        <is>
          <t>SPM-33-TC08</t>
        </is>
      </c>
      <c r="C8" s="4" t="inlineStr">
        <is>
          <t>SPM-88</t>
        </is>
      </c>
      <c r="D8" s="4" t="inlineStr">
        <is>
          <t>AC8, AC10, AC7</t>
        </is>
      </c>
      <c r="E8" s="4" t="inlineStr">
        <is>
          <t>The assigned Coordinator marks an equipment line Technical Support cannot provide as not required</t>
        </is>
      </c>
      <c r="F8" s="4" t="inlineStr">
        <is>
          <t>Run npm run fixtures:spm33 before this case. 'SPM33 Stage Unavailable' is in Planning, assigned to Daniel Tan, with an approved booking at Orchard Gallery, Handheld Wireless Mic (Reserved) and Portable Stage (Cannot be provided). Logged in as Daniel Tan. SPM-33-TC09 needs this change, so go straight to it and run npm run fixtures:spm33 after SPM-33-TC09.</t>
        </is>
      </c>
      <c r="G8" s="4" t="inlineStr">
        <is>
          <t>Event: SPM33 Stage Unavailable (Planning)</t>
        </is>
      </c>
      <c r="H8" s="4" t="inlineStr">
        <is>
          <t>1. Click 'All Events' in the sidebar and open 'SPM33 Stage Unavailable'
2. Click the 'Readiness' tab
3. Click 'Mark as not required' in the 'Portable Stage' item</t>
        </is>
      </c>
      <c r="I8" s="4" t="inlineStr">
        <is>
          <t>Step 2: '2 arrangements still block confirmation' is shown. 'Portable Stage' (Request status: Cannot be provided) is 'Outstanding': 'Portable Stage for this event is not reserved yet.', with 'Mark as not required'. 'Orchard Gallery' and 'Handheld Wireless Mic' are 'Complete' with no such button. 'Operational Safety Check' is 'Outstanding' (Not submitted).
Step 3: 'Portable Stage' now shows 'Not required', still 'Request status: Cannot be provided', and 'Marked as not required by Daniel Tan on' today's date and time. Its button reads 'Mark as required'. The message changes to '1 arrangement still blocks confirmation' - the safety check, which cannot be marked as not required.</t>
        </is>
      </c>
    </row>
    <row r="9">
      <c r="A9" s="4" t="inlineStr">
        <is>
          <t>SPM-33-TC09-R</t>
        </is>
      </c>
      <c r="B9" s="4" t="inlineStr">
        <is>
          <t>SPM-33-TC09</t>
        </is>
      </c>
      <c r="C9" s="4" t="inlineStr">
        <is>
          <t>SPM-88</t>
        </is>
      </c>
      <c r="D9" s="4" t="inlineStr">
        <is>
          <t>AC8</t>
        </is>
      </c>
      <c r="E9" s="4" t="inlineStr">
        <is>
          <t>The Coordinator reverses a not-required decision and the arrangement is outstanding again</t>
        </is>
      </c>
      <c r="F9" s="4" t="inlineStr">
        <is>
          <t>SPM-33-TC08 has just been run and the fixtures have NOT been reset since. Still on the Readiness tab of 'SPM33 Stage Unavailable' as Daniel Tan. Run npm run fixtures:spm33 after this case.</t>
        </is>
      </c>
      <c r="G9" s="4" t="inlineStr">
        <is>
          <t>Event: SPM33 Stage Unavailable (Planning) | Portable Stage, marked as not required in SPM-33-TC08</t>
        </is>
      </c>
      <c r="H9" s="4" t="inlineStr">
        <is>
          <t>1. Click 'Mark as required' in the 'Portable Stage' item
2. Click the 'Equipment' tab of the event (not 'Equipment' in the sidebar)</t>
        </is>
      </c>
      <c r="I9" s="4" t="inlineStr">
        <is>
          <t>Step 1: 'Portable Stage' is 'Outstanding' again, with 'Mark as not required', and no longer says who marked it. The message changes back to '2 arrangements still block confirmation'.
Step 2: The 'Portable Stage' requirement is still listed with 'Cannot be provided' and 'Technical Support notes: Every unit is committed elsewhere that week.' Marking it and reversing the decision did not change or remove it.</t>
        </is>
      </c>
    </row>
    <row r="10">
      <c r="A10" s="4" t="inlineStr">
        <is>
          <t>SPM-33-TC12-R</t>
        </is>
      </c>
      <c r="B10" s="4" t="inlineStr">
        <is>
          <t>SPM-33-TC12</t>
        </is>
      </c>
      <c r="C10" s="4" t="inlineStr">
        <is>
          <t>SPM-88</t>
        </is>
      </c>
      <c r="D10" s="4" t="inlineStr">
        <is>
          <t>AC5, AC8</t>
        </is>
      </c>
      <c r="E10" s="4" t="inlineStr">
        <is>
          <t>Registration that is enabled but has no capacity is outstanding until it is marked as not required</t>
        </is>
      </c>
      <c r="F10" s="4" t="inlineStr">
        <is>
          <t>Run npm run fixtures:spm33 before and after this case. 'SPM33 Registration Not Needed' is in Planning, assigned to Daniel Tan, with an approved booking at Orchard Gallery and no equipment. Registration is enabled, opens 22 Jun 2027, 09:00 and closes 20 Jul 2027, 09:00, with no capacity. Logged in as Daniel Tan.</t>
        </is>
      </c>
      <c r="G10" s="4" t="inlineStr">
        <is>
          <t>Event: SPM33 Registration Not Needed (Planning) | Registration: enabled, capacity not set</t>
        </is>
      </c>
      <c r="H10" s="4" t="inlineStr">
        <is>
          <t>1. Click 'All Events' in the sidebar and open 'SPM33 Registration Not Needed'
2. Click the 'Readiness' tab
3. Click 'Mark as not required' in the 'Registration setup' item
4. Click the 'Overview' tab</t>
        </is>
      </c>
      <c r="I10" s="4" t="inlineStr">
        <is>
          <t>Step 2: '2 arrangements still block confirmation' is shown. 'Orchard Gallery' is 'Complete'. The Equipment section says 'No equipment has been recorded for this event.' 'Registration setup' is 'Outstanding': 'Registration setup is incomplete (still needed: registration capacity).', with 'Mark as not required'. 'Operational Safety Check' is 'Outstanding' (Not submitted).
Step 3: 'Registration setup' shows 'Not required' and 'Marked as not required by Daniel Tan on' today's date and time, and its button reads 'Mark as required'. The message changes to '1 arrangement still blocks confirmation' (the safety check).
Step 4: The status badge still reads 'Planning'. The Registration card still shows Registration 'Enabled', Capacity '—', Opens '22 Jun 2027, 09:00' and Closes '20 Jul 2027, 09:00': the settings were not changed.</t>
        </is>
      </c>
    </row>
    <row r="11">
      <c r="A11" s="4" t="inlineStr">
        <is>
          <t>SPM-34-TC01-R</t>
        </is>
      </c>
      <c r="B11" s="4" t="inlineStr">
        <is>
          <t>SPM-34-TC01</t>
        </is>
      </c>
      <c r="C11" s="4" t="inlineStr">
        <is>
          <t>SPM-86, SPM-87, SPM-88</t>
        </is>
      </c>
      <c r="D11" s="4" t="inlineStr">
        <is>
          <t>AC1, AC5</t>
        </is>
      </c>
      <c r="E11" s="4" t="inlineStr">
        <is>
          <t>An event whose arrangements are all complete is confirmed once the Safety Officer has approved its safety check</t>
        </is>
      </c>
      <c r="F11" s="4" t="inlineStr">
        <is>
          <t>Run npm run fixtures:spm34 before this case. 'SPM34 Ready To Confirm' is in Planning, assigned to Daniel Tan, with an approved booking at Orchard Seminar Room and Handheld Wireless Mic (Reserved). Logged in as Daniel Tan. SPM-34-TC02 and SPM-34-TC03 read the result, so go straight to them and run npm run fixtures:spm34 after SPM-34-TC03.</t>
        </is>
      </c>
      <c r="G11" s="4" t="inlineStr">
        <is>
          <t>Event: SPM34 Ready To Confirm (Planning) | Safety Officer: Hana Yusof</t>
        </is>
      </c>
      <c r="H11" s="4" t="inlineStr">
        <is>
          <t>1. Click 'All Events' in the sidebar and open 'SPM34 Ready To Confirm'
2. Click 'Submit for safety check'
3. Click 'Submit' in the dialog
4. Log out, then log in as hana.yusof@connectsphere.com / password123
5. Click 'Safety Checks' in the sidebar and open 'SPM34 Ready To Confirm'
6. Click 'Record safety decision', choose 'Approve' and click 'Record decision'
7. Log out, then log in as daniel.tan@connectsphere.com / password123
8. Click 'All Events' in the sidebar and open 'SPM34 Ready To Confirm'
9. Click 'Confirm event'
10. Click 'Confirm event' in the dialog</t>
        </is>
      </c>
      <c r="I11" s="4" t="inlineStr">
        <is>
          <t>Step 1: The status badge reads 'Planning', with 'Submit for safety check' and 'Confirm event' in the header.
Step 2: A dialog 'Submit for safety check?' reads 'SPM34 Ready To Confirm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Ready To Confirm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row>
    <row r="12">
      <c r="A12" s="4" t="inlineStr">
        <is>
          <t>SPM-34-TC02-R</t>
        </is>
      </c>
      <c r="B12" s="4" t="inlineStr">
        <is>
          <t>SPM-34-TC02</t>
        </is>
      </c>
      <c r="C12" s="4" t="inlineStr">
        <is>
          <t>SPM-88</t>
        </is>
      </c>
      <c r="D12" s="4" t="inlineStr">
        <is>
          <t>AC6</t>
        </is>
      </c>
      <c r="E12" s="4" t="inlineStr">
        <is>
          <t>The venue and equipment stay attached to the event after it is confirmed</t>
        </is>
      </c>
      <c r="F12" s="4" t="inlineStr">
        <is>
          <t>SPM-34-TC01 has just been run ('SPM34 Ready To Confirm' is Confirmed) and the fixtures have NOT been reset since. Logged in as Daniel Tan, on the event.</t>
        </is>
      </c>
      <c r="G12" s="4" t="inlineStr">
        <is>
          <t>Event: SPM34 Ready To Confirm, now Confirmed</t>
        </is>
      </c>
      <c r="H12" s="4" t="inlineStr">
        <is>
          <t>1. Click the 'Venue' tab
2. Click the event's 'Equipment' tab (not 'Equipment' in the sidebar)</t>
        </is>
      </c>
      <c r="I12" s="4" t="inlineStr">
        <is>
          <t>Step 1: Under 'Booking requests', 'Orchard Seminar Room (ORC-SEM)' is still listed with '10 May 2027, 09:00–15:00 · Theatre' and the badge 'Approved'.
Step 2: Under 'Requested items', 'Handheld Wireless Mic' is still listed with 'Reserved' and '2 reserved'.</t>
        </is>
      </c>
    </row>
    <row r="13">
      <c r="A13" s="4" t="inlineStr">
        <is>
          <t>SPM-34-TC03-R</t>
        </is>
      </c>
      <c r="B13" s="4" t="inlineStr">
        <is>
          <t>SPM-34-TC03</t>
        </is>
      </c>
      <c r="C13" s="4" t="inlineStr">
        <is>
          <t>SPM-88</t>
        </is>
      </c>
      <c r="D13" s="4" t="inlineStr">
        <is>
          <t>AC7, AC5</t>
        </is>
      </c>
      <c r="E13" s="4" t="inlineStr">
        <is>
          <t>The Organiser can see the confirmed event and its arrangements</t>
        </is>
      </c>
      <c r="F13" s="4" t="inlineStr">
        <is>
          <t>SPM-34-TC02 has just been run and the fixtures have NOT been reset since. Run npm run fixtures:spm34 after this case.</t>
        </is>
      </c>
      <c r="G13" s="4" t="inlineStr">
        <is>
          <t>Account: rachel.ng@meridianfina.com (Event Organiser) | Event: SPM34 Ready To Confirm, Confirmed</t>
        </is>
      </c>
      <c r="H13" s="4" t="inlineStr">
        <is>
          <t>1. Log out, then log in as rachel.ng@meridianfina.com / password123
2. Click 'My Events' in the sidebar
3. Click 'SPM34 Ready To Confirm' in the list</t>
        </is>
      </c>
      <c r="I13" s="4" t="inlineStr">
        <is>
          <t>Step 2: 'SPM34 Ready To Confirm' is listed with '10 May 2027, 09:00–15:00', 40 and the status 'Confirmed'.
Step 3: The event shows STATUS 'Confirmed' and VENUE 'Orchard Seminar Room (ORC-SEM)'. There is no 'Confirm event' or 'Submit for safety check' button.</t>
        </is>
      </c>
    </row>
    <row r="14">
      <c r="A14" s="4" t="inlineStr">
        <is>
          <t>SPM-34-TC04-R</t>
        </is>
      </c>
      <c r="B14" s="4" t="inlineStr">
        <is>
          <t>SPM-34-TC04</t>
        </is>
      </c>
      <c r="C14" s="4" t="inlineStr">
        <is>
          <t>SPM-86, SPM-87, SPM-88</t>
        </is>
      </c>
      <c r="D14" s="4" t="inlineStr">
        <is>
          <t>AC2, AC1</t>
        </is>
      </c>
      <c r="E14" s="4" t="inlineStr">
        <is>
          <t>An event that needs no equipment is confirmed on its venue alone, once its safety check is approved</t>
        </is>
      </c>
      <c r="F14" s="4" t="inlineStr">
        <is>
          <t>Run npm run fixtures:spm34 before and after this case. 'SPM34 Venue Only' is in Planning, assigned to Daniel Tan, with an approved booking at Orchard Seminar Room and no equipment requirements. Logged in as Daniel Tan.</t>
        </is>
      </c>
      <c r="G14" s="4" t="inlineStr">
        <is>
          <t>Event: SPM34 Venue Only (Planning) | Equipment: none recorded</t>
        </is>
      </c>
      <c r="H14" s="4" t="inlineStr">
        <is>
          <t>1. Click 'All Events' in the sidebar and open 'SPM34 Venue Only'
2. Click 'Submit for safety check'
3. Click 'Submit' in the dialog
4. Log out, then log in as hana.yusof@connectsphere.com / password123
5. Click 'Safety Checks' in the sidebar and open 'SPM34 Venue Only'
6. Click 'Record safety decision', choose 'Approve' and click 'Record decision'
7. Log out, then log in as daniel.tan@connectsphere.com / password123
8. Click 'All Events' in the sidebar and open 'SPM34 Venue Only'
9. Click 'Confirm event'
10. Click 'Confirm event' in the dialog</t>
        </is>
      </c>
      <c r="I14" s="4" t="inlineStr">
        <is>
          <t>Step 2: A dialog 'Submit for safety check?' reads 'SPM34 Venue Only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Venue Only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row>
    <row r="15">
      <c r="A15" s="4" t="inlineStr">
        <is>
          <t>SPM-64-TC17-R</t>
        </is>
      </c>
      <c r="B15" s="4" t="inlineStr">
        <is>
          <t>SPM-64-TC17</t>
        </is>
      </c>
      <c r="C15" s="4" t="inlineStr">
        <is>
          <t>SPM-86, SPM-87, SPM-88</t>
        </is>
      </c>
      <c r="D15" s="4" t="inlineStr">
        <is>
          <t>AC8</t>
        </is>
      </c>
      <c r="E15" s="4" t="inlineStr">
        <is>
          <t>Registration that is turned off is not an outstanding arrangement, and the event is confirmed once its safety check is approved</t>
        </is>
      </c>
      <c r="F15" s="4" t="inlineStr">
        <is>
          <t>Run npm run fixtures:spm64 before and after this case. 'SPM64 Incomplete Setup Gala' is in Planning, assigned to Daniel Tan, with registration turned on and nothing else set. Logged in as Daniel Tan.</t>
        </is>
      </c>
      <c r="G15" s="4" t="inlineStr">
        <is>
          <t>Event: SPM64 Incomplete Setup Gala (Planning) | Registration: on -&gt; off</t>
        </is>
      </c>
      <c r="H15" s="4" t="inlineStr">
        <is>
          <t>1. Click 'All Events' in the sidebar and open 'SPM64 Incomplete Setup Gala'
2. Click 'Change registration settings' on the Registration card
3. Untick 'Attendees need to register for this event'
4. Click 'Save registration settings'
5. Click 'Submit for safety check'
6. Click 'Submit' in the dialog
7. Log out, then log in as hana.yusof@connectsphere.com / password123
8. Click 'Safety Checks' in the sidebar and open 'SPM64 Incomplete Setup Gala'
9. Click 'Record safety decision', choose 'Approve' and click 'Record decision'
10. Log out, then log in as daniel.tan@connectsphere.com / password123
11. Click 'All Events' in the sidebar and open 'SPM64 Incomplete Setup Gala'
12. Click 'Confirm event'
13. Click 'Confirm event' in the dialog</t>
        </is>
      </c>
      <c r="I15" s="4" t="inlineStr">
        <is>
          <t>Step 4: 'Registration settings saved.' appears and the card shows 'Registration: Not enabled for this event'.
Step 5: A dialog 'Submit for safety check?' reads 'SPM64 Incomplete Setup Gala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'SPM64 Incomplete Setup Gala will be marked Confirmed, and the organiser will be able to see the venue and equipment arranged for it. Anything still outstanding will be listed instead.'
Step 13: 'The event is confirmed. The organiser can now see the arrangements.' is shown and the status badge reads 'Confirmed'.</t>
        </is>
      </c>
    </row>
    <row r="16">
      <c r="A16" s="4" t="inlineStr">
        <is>
          <t>SPM-46-TC01-R</t>
        </is>
      </c>
      <c r="B16" s="4" t="inlineStr">
        <is>
          <t>SPM-46-TC01</t>
        </is>
      </c>
      <c r="C16" s="4" t="inlineStr">
        <is>
          <t>SPM-93</t>
        </is>
      </c>
      <c r="D16" s="4" t="inlineStr">
        <is>
          <t>AC1, AC2</t>
        </is>
      </c>
      <c r="E16" s="4" t="inlineStr">
        <is>
          <t>Open a venue's availability and read each day's schedule at its actual times</t>
        </is>
      </c>
      <c r="F16" s="4" t="inlineStr">
        <is>
          <t>Base seed data (no fixture script). Marina Grand Hall (MAR-GH) has an Approved booking for 'Straits Medical Research Symposium' on 7 Dec 2026, 09:00-18:00. Logged in as Marcus Wong.</t>
        </is>
      </c>
      <c r="G16" s="4" t="inlineStr">
        <is>
          <t>Venue: Marina Grand Hall (MAR-GH), then Jurong Expo Floor (JUR-EXP) | From 7 Dec 2026 To 13 Dec 2026</t>
        </is>
      </c>
      <c r="H16" s="4" t="inlineStr">
        <is>
          <t>1. Click 'Venues' in the sidebar
2. On the 'Marina Grand Hall' row, click 'View availability'
3. Set 'From' to 7 Dec 2026 and 'To' to 13 Dec 2026, then click 'Show availability'
4. Choose 'Jurong Expo Floor (JUR-EXP)' in the 'Venue' picker and click 'Show availability'</t>
        </is>
      </c>
      <c r="I16" s="4" t="inlineStr">
        <is>
          <t>Step 2: The page 'Marina Grand Hall availability' opens on the 7 days from today, with 'From' and 'To' filled in. The subtitle ends 'open 07:00–23:00 · setup 180 min, turnaround 120 min'. The grid has two columns, 'Day' and 'Schedule' - no AM, PM or Night columns.
Step 3: Seven rows, Mon 7 Dec 2026 to Sun 13 Dec 2026. 7 Dec lists 'Setup 06:00–09:00', 'Booked 09:00–18:00' and 'Turnaround 18:00–20:00', each '· Straits Medical Research Symposium'. 8 to 13 Dec show 'Free'.
Step 4: The title changes to 'Jurong Expo Floor availability' with 'open 06:00–23:00 · setup 240 min, turnaround 180 min', the range stays 7–13 Dec 2026, and every day shows 'Free'.</t>
        </is>
      </c>
    </row>
    <row r="17">
      <c r="A17" s="4" t="inlineStr">
        <is>
          <t>SPM-46-TC09-R</t>
        </is>
      </c>
      <c r="B17" s="4" t="inlineStr">
        <is>
          <t>SPM-46-TC09</t>
        </is>
      </c>
      <c r="C17" s="4" t="inlineStr">
        <is>
          <t>SPM-93</t>
        </is>
      </c>
      <c r="D17" s="4" t="inlineStr">
        <is>
          <t>AC5</t>
        </is>
      </c>
      <c r="E17" s="4" t="inlineStr">
        <is>
          <t>Two overlapping unavailable periods are identified as overlapping</t>
        </is>
      </c>
      <c r="F17" s="4" t="inlineStr">
        <is>
          <t>Base seed data. Jurong Expo Floor (JUR-EXP) has two overlapping unavailable periods: Maintenance 5-9 Nov 2026 and Safety 7-11 Nov 2026. Logged in as Marcus Wong.</t>
        </is>
      </c>
      <c r="G17" s="4" t="inlineStr">
        <is>
          <t>Venue: Jurong Expo Floor (JUR-EXP) | From 5 Nov 2026 To 11 Nov 2026</t>
        </is>
      </c>
      <c r="H17" s="4" t="inlineStr">
        <is>
          <t>1. Click 'Venues' in the sidebar, then 'View availability' on the 'Jurong Expo Floor' row
2. Set 'From' to 5 Nov 2026 and 'To' to 11 Nov 2026, then click 'Show availability'</t>
        </is>
      </c>
      <c r="I17" s="4" t="inlineStr">
        <is>
          <t>Step 2: A warning 'Some bookings or unavailable periods overlap' is shown. 5 and 6 Nov list 'Unavailable 00:00–24:00 · Maintenance'; 7, 8 and 9 Nov list both 'Unavailable … · Maintenance' and 'Unavailable … · Safety'; 10 and 11 Nov list 'Unavailable … · Safety'. Under 'Unavailable periods': 'Maintenance', 'Loading bay hoist inspection.', '5 Nov 2026, 00:00 – 9 Nov 2026, 23:59', 'Overlaps with: Safety (7 Nov 2026, 00:00 – 11 Nov 2026, 23:59)'; and 'Safety', 'Fire suppression system recertification.', '7 Nov 2026, 00:00 – 11 Nov 2026, 23:59', 'Overlaps with: Maintenance (5 Nov 2026, 00:00 – 9 Nov 2026, 23:59)'.</t>
        </is>
      </c>
    </row>
    <row r="18">
      <c r="A18" s="4" t="inlineStr">
        <is>
          <t>SPM-46-TC12-R</t>
        </is>
      </c>
      <c r="B18" s="4" t="inlineStr">
        <is>
          <t>SPM-46-TC12</t>
        </is>
      </c>
      <c r="C18" s="4" t="inlineStr">
        <is>
          <t>SPM-93</t>
        </is>
      </c>
      <c r="D18" s="4" t="inlineStr">
        <is>
          <t>AC3, AC7</t>
        </is>
      </c>
      <c r="E18" s="4" t="inlineStr">
        <is>
          <t>An approved booking blocks its times, setup and turnaround, and is listed, even while its event is still in planning</t>
        </is>
      </c>
      <c r="F18" s="4" t="inlineStr">
        <is>
          <t>Base seed data. Marina Grand Hall (MAR-GH), setup 180 min, turnaround 120 min, has an Approved booking for 'Straits Medical Research Symposium', 7 Dec 2026 09:00-18:00, whose event is in Planning. Logged in as Daniel Tan.</t>
        </is>
      </c>
      <c r="G18" s="4" t="inlineStr">
        <is>
          <t>Venue: Marina Grand Hall (MAR-GH) | From 6 Dec 2026 To 7 Dec 2026</t>
        </is>
      </c>
      <c r="H18" s="4" t="inlineStr">
        <is>
          <t>1. Click 'Venues' in the sidebar, then 'View availability' on the 'Marina Grand Hall' row
2. Set 'From' to 6 Dec 2026 and 'To' to 7 Dec 2026, then click 'Show availability'</t>
        </is>
      </c>
      <c r="I18" s="4" t="inlineStr">
        <is>
          <t>Step 2: 6 Dec shows 'Free'. 7 Dec lists 'Setup 06:00–09:00', 'Booked 09:00–18:00' and 'Turnaround 18:00–20:00', each '· Straits Medical Research Symposium' - not 'Free'. Under 'Approved bookings': Straits Medical Research Symposium with the event status 'Planning', '7 Dec 2026, 09:00–18:00', 'Room in use 06:00–20:00', 'Layout: Theatre'.</t>
        </is>
      </c>
    </row>
    <row r="19">
      <c r="A19" s="4" t="inlineStr">
        <is>
          <t>SPM-90-TC09-R</t>
        </is>
      </c>
      <c r="B19" s="4" t="inlineStr">
        <is>
          <t>SPM-90-TC09</t>
        </is>
      </c>
      <c r="C19" s="4" t="inlineStr">
        <is>
          <t>SPM-86, SPM-87, SPM-88</t>
        </is>
      </c>
      <c r="D19" s="4" t="inlineStr">
        <is>
          <t>AC6</t>
        </is>
      </c>
      <c r="E19" s="4" t="inlineStr">
        <is>
          <t>Once Venue Staff approve the last pending room and the safety check is approved, an event with two venue bookings can be confirmed</t>
        </is>
      </c>
      <c r="F19" s="4" t="inlineStr">
        <is>
          <t>Run npm run fixtures:spm90 before and after this case. 'SPM90 Awards Night' (16 Sep 2027, 09:00-17:00) is in Planning with SPM90 Main Hall Approved and SPM90 Breakout Room Pending. Logged out.</t>
        </is>
      </c>
      <c r="G19" s="4" t="inlineStr">
        <is>
          <t>Event: SPM90 Awards Night | SPM90 Main Hall (SPM90-HALL) Approved | SPM90 Breakout Room (SPM90-BRK) Pending</t>
        </is>
      </c>
      <c r="H19" s="4" t="inlineStr">
        <is>
          <t>1. Log in as marcus.wong@connectsphere.com / password123
2. Click 'Booking Requests' in the sidebar and find the 'SPM90 Breakout Room' card for 'SPM90 Awards Night' (use Ctrl+F)
3. Click 'Approve' on that card, then 'Approve' in the dialog
4. Log out, then log in as daniel.tan@connectsphere.com / password123
5. Click 'All Events' in the sidebar and open 'SPM90 Awards Night'
6. Click 'Submit for safety check'
7. Click 'Submit' in the dialog
8. Log out, then log in as hana.yusof@connectsphere.com / password123
9. Click 'Safety Checks' in the sidebar and open 'SPM90 Awards Night'
10. Click 'Record safety decision', choose 'Approve' and click 'Record decision'
11. Log out, then log in as daniel.tan@connectsphere.com / password123
12. Click 'All Events' in the sidebar and open 'SPM90 Awards Night'
13. Click 'Confirm event'
14. Click 'Confirm event' in the dialog</t>
        </is>
      </c>
      <c r="I19" s="4" t="inlineStr">
        <is>
          <t>Step 3: A green alert 'Booking approved' reads 'SPM90 Breakout Room (SPM90-BRK) for &lt;reference&gt; SPM90 Awards Night on 16 Sept 2027, 09:00–17:00 is now Approved — the room is booked.'
Step 5: The 'Venue bookings' card lists 'SPM90 Main Hall (SPM90-HALL) · Main programme · Theatre · seats 200' and 'SPM90 Breakout Room (SPM90-BRK) · Breakout room · Classroom · seats 20'.
Step 6: A dialog 'Submit for safety check?' reads 'SPM90 Awards Night will move to Safety review and the Safety Officer will be notified. Anything still outstanding or flagged for review will be listed instead.'
Step 7: 'The event has been submitted for a safety check. The Safety Officer has been notified.' is shown and the status badge reads 'Safety review'.
Step 10: 'Safety check approved. The coordinator has been notified.' is shown and the status badge reads 'Safety approved'.
Step 12: The status badge reads 'Safety approved' and the 'Confirm event' button is shown.
Step 13: A dialog 'Confirm this event?' reads 'SPM90 Awards Night will be marked Confirmed, and the organiser will be able to see the venue and equipment arranged for it. Anything still outstanding will be listed instead.'
Step 14: 'The event is confirmed. The organiser can now see the arrangements.' is shown and the status badge reads 'Confirmed'.</t>
        </is>
      </c>
    </row>
    <row r="20">
      <c r="A20" s="4" t="inlineStr">
        <is>
          <t>SPM-90-TC10-R</t>
        </is>
      </c>
      <c r="B20" s="4" t="inlineStr">
        <is>
          <t>SPM-90-TC10</t>
        </is>
      </c>
      <c r="C20" s="4" t="inlineStr">
        <is>
          <t>SPM-86, SPM-87, SPM-88</t>
        </is>
      </c>
      <c r="D20" s="4" t="inlineStr">
        <is>
          <t>AC7</t>
        </is>
      </c>
      <c r="E20" s="4" t="inlineStr">
        <is>
          <t>An event with a single approved venue booking made before SPM-90 is listed without a purpose and is confirmed as before, once its safety check is approved</t>
        </is>
      </c>
      <c r="F20" s="4" t="inlineStr">
        <is>
          <t>Run npm run fixtures:spm90 before and after this case. 'SPM90 Solo Seminar' (21 Sep 2027, 09:00-12:00, 150 people, Theatre) is in Planning with one Approved booking at SPM90 Main Hall that has no purpose recorded. Logged in as Daniel Tan.</t>
        </is>
      </c>
      <c r="G20" s="4" t="inlineStr">
        <is>
          <t>Event: SPM90 Solo Seminar | Booking: SPM90 Main Hall (SPM90-HALL), Approved, no purpose</t>
        </is>
      </c>
      <c r="H20" s="4" t="inlineStr">
        <is>
          <t>1. Click 'All Events' in the sidebar and open 'SPM90 Solo Seminar'
2. Click 'Submit for safety check'
3. Click 'Submit' in the dialog
4. Log out, then log in as hana.yusof@connectsphere.com / password123
5. Click 'Safety Checks' in the sidebar and open 'SPM90 Solo Seminar'
6. Click 'Record safety decision', choose 'Approve' and click 'Record decision'
7. Log out, then log in as daniel.tan@connectsphere.com / password123
8. Click 'All Events' in the sidebar and open 'SPM90 Solo Seminar'
9. Click 'Confirm event'
10. Click 'Confirm event' in the dialog</t>
        </is>
      </c>
      <c r="I20" s="4" t="inlineStr">
        <is>
          <t>Step 1: The 'Venue' row reads 'SPM90 Main Hall (SPM90-HALL)' and the 'Venue bookings' card reads 'SPM90 Main Hall (SPM90-HALL) · Theatre · seats 200', with no purpose.
Step 2: A dialog 'Submit for safety check?' reads 'SPM90 Solo Seminar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'SPM90 Solo Seminar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row>
    <row r="21">
      <c r="A21" s="4" t="inlineStr">
        <is>
          <t>SPM-42-TC01-R</t>
        </is>
      </c>
      <c r="B21" s="4" t="inlineStr">
        <is>
          <t>SPM-42-TC01</t>
        </is>
      </c>
      <c r="C21" s="4" t="inlineStr">
        <is>
          <t>SPM-93, SPM-90</t>
        </is>
      </c>
      <c r="D21" s="4" t="inlineStr">
        <is>
          <t>AC1, AC6</t>
        </is>
      </c>
      <c r="E21" s="4" t="inlineStr">
        <is>
          <t>Coordinator requests a suitable venue at the event's own times, with venue requirements and layout</t>
        </is>
      </c>
      <c r="F21" s="4" t="inlineStr">
        <is>
          <t>Run npm run fixtures:spm42 once at the start of this story's cases (do not re-run it between SPM-42 cases). 'SPM42 Research Symposium' is in Planning, assigned to Daniel Tan, 4 Mar 2027, 09:00-18:00, 200 people, Theatre. Marina Auditorium (MAR-AUD) seats 220 in Theatre, opens 08:00-22:00, setup 60 min, turnaround 30 min. Logged out.</t>
        </is>
      </c>
      <c r="G21" s="4" t="inlineStr">
        <is>
          <t>Event: SPM42 Research Symposium | Venue: Marina Auditorium (MAR-AUD) | 4 Mar 2027, 09:00-18:00
Venue requirements: Lectern and stage riser at the front; two wireless microphones; doors open 08:30.</t>
        </is>
      </c>
      <c r="H21" s="4" t="inlineStr">
        <is>
          <t>1. Log in as daniel.tan@connectsphere.com / password123
2. Click 'All Events' in the sidebar and open 'SPM42 Research Symposium'
3. Click the 'Venue' tab
4. Click 'Request booking' on 'Marina Auditorium (MAR-AUD)'
5. Type in 'Venue requirements': Lectern and stage riser at the front; two wireless microphones; doors open 08:30.
6. Click 'Submit request'
7. Log out, then log in as marcus.wong@connectsphere.com / password123
8. Click 'Booking Requests' in the sidebar and find the 'Marina Auditorium (MAR-AUD)' card for SPM42 Research Symposium (use Ctrl+F)</t>
        </is>
      </c>
      <c r="I21" s="4" t="inlineStr">
        <is>
          <t>Step 3: 'Marina Auditorium (MAR-AUD)' is listed as 'Suitable' with a 'Request booking' button.
Step 4: The 'Request a venue booking' page shows Event 'SPM42 Research Symposium' and Venue 'Marina Auditorium (MAR-AUD)'. It is filled in with 'What is this space for?' Main programme, Expected attendance 200, Room layout Theatre, Date 4 Mar 2027, Start time 09:00 and End time 18:00, and reads 'Setup: 08:00–09:00 (60 min)', 'Turnaround: 18:00–18:30 (30 min)' and 'Room in use: 08:00–18:30'. There are no AM, PM or Night boxes.
Step 6: A green alert 'Booking request sent to Venue Staff.' reads 'It is Pending until Venue Staff review it.'
Step 8: The card has the badge 'Pending', Requested '4 Mar 2027, 09:00–18:00' with the same setup, turnaround and room-in-use lines, Space 'Main programme', Layout 'Theatre', Expected attendance '200', Venue requirements exactly as typed, and Requested by 'Daniel Tan' with 'Event is Planning'.</t>
        </is>
      </c>
    </row>
    <row r="22">
      <c r="A22" s="4" t="inlineStr">
        <is>
          <t>SPM-42-TC04-R</t>
        </is>
      </c>
      <c r="B22" s="4" t="inlineStr">
        <is>
          <t>SPM-42-TC04</t>
        </is>
      </c>
      <c r="C22" s="4" t="inlineStr">
        <is>
          <t>SPM-93, SPM-82</t>
        </is>
      </c>
      <c r="D22" s="4" t="inlineStr">
        <is>
          <t>AC2, AC4</t>
        </is>
      </c>
      <c r="E22" s="4" t="inlineStr">
        <is>
          <t>An event with no sessions is requested on its own date and times, and the request is listed on the event</t>
        </is>
      </c>
      <c r="F22" s="4" t="inlineStr">
        <is>
          <t>SPM-42 fixtures loaded (npm run fixtures:spm42, once for the story). 'SPM42 Town Hall' is in Planning, assigned to Daniel Tan, 6 Mar 2027, 09:00-17:00, 100 people, Theatre, no sessions, no booking requests. Logged in as Daniel Tan. SPM-42-TC11 reads the request this case makes, so go straight to it.</t>
        </is>
      </c>
      <c r="G22" s="4" t="inlineStr">
        <is>
          <t>Event: SPM42 Town Hall (no sessions) | Venue: Orchard Seminar Room (ORC-SEM), setup 60 min, turnaround 30 min | 6 Mar 2027, 09:00-17:00</t>
        </is>
      </c>
      <c r="H22" s="4" t="inlineStr">
        <is>
          <t>1. Click 'All Events' in the sidebar and open 'SPM42 Town Hall'
2. Click the 'Venue' tab
3. Click 'Request booking' on 'Orchard Seminar Room (ORC-SEM)'
4. Click 'Submit request'
5. Click 'Back to Venue'</t>
        </is>
      </c>
      <c r="I22" s="4" t="inlineStr">
        <is>
          <t>Step 2: There is no 'Session' drop-down. 'Orchard Seminar Room (ORC-SEM)' is 'Suitable'.
Step 3: The form starts on Date 6 Mar 2027, Start time 09:00 and End time 17:00 (the event's own times), Expected attendance 100, Room layout Theatre, and 'What is this space for?' Main programme. It reads 'Setup: 08:00–09:00 (60 min)', 'Turnaround: 17:00–17:30 (30 min)' and 'Room in use: 08:00–17:30'.
Step 4: 'Booking request sent to Venue Staff.' is shown.
Step 5: The 'Booking requests' card lists 'Orchard Seminar Room (ORC-SEM)' with 'Main programme · 6 Mar 2027, 09:00–17:00 · Theatre · 100 attendees', the line 'Hold expires Hold expires' followed by the date and time 7 days after the request was sent, and the badge 'Pending'.</t>
        </is>
      </c>
    </row>
    <row r="23">
      <c r="A23" s="4" t="inlineStr">
        <is>
          <t>SPM-42-TC11-R</t>
        </is>
      </c>
      <c r="B23" s="4" t="inlineStr">
        <is>
          <t>SPM-42-TC11</t>
        </is>
      </c>
      <c r="C23" s="4" t="inlineStr">
        <is>
          <t>SPM-93, SPM-82, SPM-90</t>
        </is>
      </c>
      <c r="D23" s="4" t="inlineStr">
        <is>
          <t>AC7, AC8</t>
        </is>
      </c>
      <c r="E23" s="4" t="inlineStr">
        <is>
          <t>The request reaches Venue Staff and shows Pending, with its times, setup, turnaround and hold expiry</t>
        </is>
      </c>
      <c r="F23" s="4" t="inlineStr">
        <is>
          <t>SPM-42-TC04 has just been run ('SPM42 Town Hall' has a Pending request for Orchard Seminar Room) and the fixtures have NOT been reset since. Logged in as Daniel Tan.</t>
        </is>
      </c>
      <c r="G23" s="4" t="inlineStr">
        <is>
          <t>Request: SPM42 Town Hall, Orchard Seminar Room (ORC-SEM), 6 Mar 2027, 09:00-17:00</t>
        </is>
      </c>
      <c r="H23" s="4" t="inlineStr">
        <is>
          <t>1. Click 'All Events' in the sidebar, open 'SPM42 Town Hall' and click the 'Venue' tab
2. Log out, then log in as marcus.wong@connectsphere.com / password123
3. Click 'Booking Requests' in the sidebar and find the card for SPM42 Town Hall (use Ctrl+F)</t>
        </is>
      </c>
      <c r="I23" s="4" t="inlineStr">
        <is>
          <t>Step 1: Under 'Booking requests', Orchard Seminar Room (ORC-SEM) has the badge 'Pending'.
Step 3: The card is headed 'Orchard Seminar Room (ORC-SEM)', 'for &lt;reference&gt; SPM42 Town Hall · Meridian Financial Group', badge 'Pending'. Requested '6 Mar 2027, 09:00–17:00' with 'Setup: 08:00–09:00 (60 min)', 'Turnaround: 17:00–17:30 (30 min)' and 'Room in use: 08:00–17:30'; Hold expires: the date and time 7 days after SPM-42-TC04 sent it, with 'Change expiry'; Event time '6 Mar 2027, 09:00–17:00'; Space 'Main programme'; Layout 'Theatre'; Expected attendance '100'; Venue requirements 'None given'; Requested by 'Daniel Tan', 'Event is Planning'.</t>
        </is>
      </c>
    </row>
    <row r="24">
      <c r="A24" s="4" t="inlineStr">
        <is>
          <t>SPM-42-TC09-R</t>
        </is>
      </c>
      <c r="B24" s="4" t="inlineStr">
        <is>
          <t>SPM-42-TC09</t>
        </is>
      </c>
      <c r="C24" s="4" t="inlineStr">
        <is>
          <t>SPM-93, SPM-54, SPM-90</t>
        </is>
      </c>
      <c r="D24" s="4" t="inlineStr">
        <is>
          <t>AC4, AC5</t>
        </is>
      </c>
      <c r="E24" s="4" t="inlineStr">
        <is>
          <t>Each session is requested at its own date, times and layout; a room whose setup and turnaround fall outside its opening hours is refused</t>
        </is>
      </c>
      <c r="F24" s="4" t="inlineStr">
        <is>
          <t>Run npm run fixtures:spm42 before this case. 'SPM42 Three-Session Forum' is Approved, assigned to Daniel Tan. Sessions: 'Day 1' 1 Mar 2027 09:00-12:00, 80 people, Theatre; 'Day 2' 2 Mar 2027 14:00-17:00, 30 people, Classroom; 'Day 3' 3 Mar 2027 19:00-22:00, 60 people, Banquet. Logged in as Daniel Tan. Run npm run fixtures:spm42 after this case.</t>
        </is>
      </c>
      <c r="G24" s="4" t="inlineStr">
        <is>
          <t>Day 1: Orchard Seminar Room (ORC-SEM) | Day 2: Orchard Studio (ORC-STU) | Day 3: Orchard Gallery (ORC-GAL), open 09:00-23:00, setup 120 min, turnaround 90 min</t>
        </is>
      </c>
      <c r="H24" s="4" t="inlineStr">
        <is>
          <t>1. Click 'All Events' in the sidebar and open 'SPM42 Three-Session Forum'
2. Click the 'Venue' tab
3. In the 'Session' drop-down, choose 'Day 1'
4. Click 'Request booking' on 'Orchard Seminar Room (ORC-SEM)'
5. Click 'Submit request'
6. Click 'Continue' in the dialog
7. Click 'Back to Venue'
8. In the 'Session' drop-down, choose 'Day 2'
9. Click 'Request booking' on 'Orchard Studio (ORC-STU)'
10. Click 'Submit request'
11. Click 'Back to Venue'
12. In the 'Session' drop-down, choose 'Day 3'
13. Click 'Request booking' on 'Orchard Gallery (ORC-GAL)'
14. Click 'Submit request'
15. Click 'Cancel'</t>
        </is>
      </c>
      <c r="I24" s="4" t="inlineStr">
        <is>
          <t>Step 4: The form shows Session 'Day 1 — 1 Mar 2027, 09:00–12:00', Date 1 Mar 2027, 09:00 to 12:00, Expected attendance 80, Room layout Theatre, 'Room in use: 08:00–12:30'.
Step 5: A dialog 'Begin planning?' says the event will move from Approved to Planning.
Step 6: 'Booking request sent to Venue Staff.' and 'Planning has started' are shown.
Step 9: The form shows Session 'Day 2 — 2 Mar 2027, 14:00–17:00', Date 2 Mar 2027, 14:00 to 17:00, Expected attendance 30, Room layout Classroom, 'Setup: 13:30–14:00 (30 min)', 'Turnaround: 17:00–17:30 (30 min)'.
Step 10: 'Booking request sent to Venue Staff.' is shown.
Step 13: The form shows Session 'Day 3 — 3 Mar 2027, 19:00–22:00', Date 3 Mar 2027, 19:00 to 22:00, Expected attendance 60, Room layout Banquet, 'Setup: 17:00–19:00 (120 min)', 'Turnaround: 22:00–23:30 (90 min)', 'Room in use: 17:00–23:30'.
Step 14: The request is refused with 'Orchard Gallery is open 09:00–23:00. With its 120 min setup and 90 min turnaround, choose times between 11:00 and 21:30.' Nothing is sent.
Step 15: The 'Booking requests' card lists two requests, each with its session and the session's own layout: 'Orchard Seminar Room (ORC-SEM)' with 'Main programme · Day 1 · 1 Mar 2027, 09:00–12:00 · Theatre · 80 attendees' and 'Orchard Studio (ORC-STU)' with 'Main programme · Day 2 · 2 Mar 2027, 14:00–17:00 · Classroom · 30 attendees', both 'Pending'. There is no request for Day 3.</t>
        </is>
      </c>
    </row>
    <row r="25">
      <c r="A25" s="4" t="inlineStr">
        <is>
          <t>SPM-43-TC01-R</t>
        </is>
      </c>
      <c r="B25" s="4" t="inlineStr">
        <is>
          <t>SPM-43-TC01</t>
        </is>
      </c>
      <c r="C25" s="4" t="inlineStr">
        <is>
          <t>SPM-93, SPM-82, SPM-90</t>
        </is>
      </c>
      <c r="D25" s="4" t="inlineStr">
        <is>
          <t>AC1, AC2</t>
        </is>
      </c>
      <c r="E25" s="4" t="inlineStr">
        <is>
          <t>Venue Staff see each pending request with its venue, times, setup and turnaround, hold expiry and event details</t>
        </is>
      </c>
      <c r="F25" s="4" t="inlineStr">
        <is>
          <t>Run npm run fixtures:spm43 once before this story's cases. 'SPM43 Leadership Offsite' (Planning, Meridian Financial Group, Daniel Tan, 100 people, Theatre, 4 May 2027 09:00-17:00) has a Pending request for Orchard Seminar Room (ORC-SEM) for 4 May 2027, 07:00-18:00. 'SPM43 Board Strategy Day' has an Approved booking at Marina Auditorium. Logged out.</t>
        </is>
      </c>
      <c r="G25" s="4" t="inlineStr">
        <is>
          <t>Request: SPM43 Leadership Offsite at Orchard Seminar Room (ORC-SEM), 4 May 2027, 07:00-18:00 | Venue requirements: Lectern and two handheld microphones.</t>
        </is>
      </c>
      <c r="H25" s="4" t="inlineStr">
        <is>
          <t>1. Log in as marcus.wong@connectsphere.com / password123
2. Click 'Booking Requests' in the sidebar
3. Find the card for 'SPM43 Leadership Offsite' (use Ctrl+F)
4. Search the page (Ctrl+F) for a card headed 'for &lt;reference&gt; SPM43 Board Strategy Day'</t>
        </is>
      </c>
      <c r="I25" s="4" t="inlineStr">
        <is>
          <t>Step 2: The 'Booking Requests' page opens with one card per pending request.
Step 3: The card is headed 'Orchard Seminar Room (ORC-SEM)', 'for &lt;reference&gt; SPM43 Leadership Offsite · Meridian Financial Group', badge 'Pending'. Requested '4 May 2027, 07:00–18:00' with 'Setup: 06:00–07:00 (60 min)', 'Turnaround: 18:00–18:30 (30 min)' and 'Room in use: 06:00–18:30'; Hold expires 'No expiry set' with 'Change expiry'; Event time '4 May 2027, 09:00–17:00'; Space 'Not recorded'; Layout 'Theatre'; Expected attendance '100'; Venue requirements 'Lectern and two handheld microphones.'; Requested by 'Daniel Tan', 'Event is Planning'; buttons 'Approve' and 'Reject with a reason'.
Step 4: There is no card for SPM43 Board Strategy Day: its booking is already approved. (It may be named inside another card's clash warning.)</t>
        </is>
      </c>
    </row>
    <row r="26">
      <c r="A26" s="4" t="inlineStr">
        <is>
          <t>SPM-43-TC03-R</t>
        </is>
      </c>
      <c r="B26" s="4" t="inlineStr">
        <is>
          <t>SPM-43-TC03</t>
        </is>
      </c>
      <c r="C26" s="4" t="inlineStr">
        <is>
          <t>SPM-93</t>
        </is>
      </c>
      <c r="D26" s="4" t="inlineStr">
        <is>
          <t>AC3, AC7</t>
        </is>
      </c>
      <c r="E26" s="4" t="inlineStr">
        <is>
          <t>Approving a request books the room: it leaves the list, the calendar shows its setup, booked and turnaround times, and the Coordinator sees it Approved</t>
        </is>
      </c>
      <c r="F26" s="4" t="inlineStr">
        <is>
          <t>SPM-43 fixtures loaded, with 'SPM43 Leadership Offsite' still Pending at Orchard Seminar Room (run npm run fixtures:spm43 if not). Logged in as Marcus Wong. This case changes data: run npm run fixtures:spm43 when you finish this story's cases.</t>
        </is>
      </c>
      <c r="G26" s="4" t="inlineStr">
        <is>
          <t>Request: SPM43 Leadership Offsite at Orchard Seminar Room (ORC-SEM), 4 May 2027, 07:00-18:00 | Calendar: 3-5 May 2027</t>
        </is>
      </c>
      <c r="H26" s="4" t="inlineStr">
        <is>
          <t>1. Click 'Booking Requests' in the sidebar
2. On the 'SPM43 Leadership Offsite' card, click 'Approve'
3. Click 'Approve' in the dialog
4. Click 'Venues' in the sidebar, then 'View availability' on the 'Orchard Seminar Room' row
5. Set 'From' to 3 May 2027 and 'To' to 5 May 2027, then click 'Show availability'
6. Log out, then log in as daniel.tan@connectsphere.com / password123
7. Click 'All Events' in the sidebar and open 'SPM43 Leadership Offsite'
8. Click the 'Venue' tab</t>
        </is>
      </c>
      <c r="I26" s="4" t="inlineStr">
        <is>
          <t>Step 2: A dialog 'Approve this booking?' reads 'This books Orchard Seminar Room (ORC-SEM) for &lt;reference&gt; SPM43 Leadership Offsite on 4 May 2027, 07:00–18:00. No other event can then be booked into the room from 06:00 to 18:30, which includes its setup and turnaround time.'
Step 3: A green 'Booking approved' message reads 'Orchard Seminar Room (ORC-SEM) for &lt;reference&gt; SPM43 Leadership Offsite on 4 May 2027, 07:00–18:00 is now Approved — the room is booked.' The card is no longer in the list.
Step 5: The subtitle reads '3 May 2027 – 5 May 2027 · open 08:00–22:00 · setup 60 min, turnaround 30 min'. The grid has the columns 'Day' and 'Schedule'. 3 May and 5 May show 'Free'. 4 May lists 'Setup 06:00–07:00 · SPM43 Leadership Offsite', 'Booked 07:00–18:00 · SPM43 Leadership Offsite' and 'Turnaround 18:00–18:30 · SPM43 Leadership Offsite'. Under 'Approved bookings': SPM43 Leadership Offsite, 'Planning', '4 May 2027, 07:00–18:00', 'Room in use 06:00–18:30', 'Layout: Theatre'.
Step 7: The event's status badge still reads 'Planning': approving a booking does not confirm the event.
Step 8: Under 'Booking requests', Orchard Seminar Room (ORC-SEM) shows '4 May 2027, 07:00–18:00 · Theatre' with the badge 'Approved' and a 'Release booking' button.</t>
        </is>
      </c>
    </row>
    <row r="27">
      <c r="A27" s="4" t="inlineStr">
        <is>
          <t>SPM-43-TC08-R</t>
        </is>
      </c>
      <c r="B27" s="4" t="inlineStr">
        <is>
          <t>SPM-43-TC08</t>
        </is>
      </c>
      <c r="C27" s="4" t="inlineStr">
        <is>
          <t>SPM-93</t>
        </is>
      </c>
      <c r="D27" s="4" t="inlineStr">
        <is>
          <t>AC4, AC5</t>
        </is>
      </c>
      <c r="E27" s="4" t="inlineStr">
        <is>
          <t>Rejecting with a reason takes the request off the list and shows the Coordinator the reason</t>
        </is>
      </c>
      <c r="F27" s="4" t="inlineStr">
        <is>
          <t>SPM-43 fixtures loaded; 'SPM43 Product Briefing' has a Pending request for Marina Auditorium (MAR-AUD), 5 May 2027, 13:00-18:00. Logged in as Marcus Wong. This case changes data: run npm run fixtures:spm43 when you finish this story's cases.</t>
        </is>
      </c>
      <c r="G27" s="4" t="inlineStr">
        <is>
          <t>Reason for rejection: Auditorium is closed for stage repairs that week. | Suggest another venue: No venue suggested</t>
        </is>
      </c>
      <c r="H27" s="4" t="inlineStr">
        <is>
          <t>1. Click 'Booking Requests' in the sidebar
2. On the 'SPM43 Product Briefing' card, click 'Reject with a reason'
3. Type the reason in 'Reason for rejection'
4. Leave 'Suggest another venue' on 'No venue suggested' and click 'Reject request'
5. Log out, then log in as daniel.tan@connectsphere.com / password123
6. Click 'All Events' in the sidebar and open 'SPM43 Product Briefing'
7. Click the 'Venue' tab</t>
        </is>
      </c>
      <c r="I27" s="4" t="inlineStr">
        <is>
          <t>Step 4: A green 'Booking request rejected' message reads 'Marina Auditorium (MAR-AUD) for &lt;reference&gt; SPM43 Product Briefing on 5 May 2027, 13:00–18:00 is now Rejected. The Coordinator can see your reason on the event's Venue tab.' The card is no longer in the list.
Step 7: Under 'Booking requests', Marina Auditorium (MAR-AUD) shows '5 May 2027, 13:00–18:00 · Theatre', the badge 'Rejected' and 'Reason from Venue Staff: Auditorium is closed for stage repairs that week.' There is no 'Suggested alternative' line and no 'Request this venue' button.</t>
        </is>
      </c>
    </row>
    <row r="28">
      <c r="A28" s="4" t="inlineStr">
        <is>
          <t>SPM-43-TC09-R</t>
        </is>
      </c>
      <c r="B28" s="4" t="inlineStr">
        <is>
          <t>SPM-43-TC09</t>
        </is>
      </c>
      <c r="C28" s="4" t="inlineStr">
        <is>
          <t>SPM-93</t>
        </is>
      </c>
      <c r="D28" s="4" t="inlineStr">
        <is>
          <t>AC6</t>
        </is>
      </c>
      <c r="E28" s="4" t="inlineStr">
        <is>
          <t>Venue Staff suggest another venue when rejecting; the Coordinator sees it and can start a request for it at the event's own times</t>
        </is>
      </c>
      <c r="F28" s="4" t="inlineStr">
        <is>
          <t>SPM-43 fixtures loaded; 'SPM43 Awards Dinner' (80 people, Banquet, 6 May 2027 19:00-22:00) has a Pending request for Orchard Gallery (ORC-GAL), 6 May 2027 19:00 to 7 May 2027 00:00. Logged in as Marcus Wong. This case changes data: run npm run fixtures:spm43 when you finish this story's cases.</t>
        </is>
      </c>
      <c r="G28" s="4" t="inlineStr">
        <is>
          <t>Reason for rejection: Gallery is closed for a private hire that evening. | Suggest another venue: Marina Grand Hall (MAR-GH)</t>
        </is>
      </c>
      <c r="H28" s="4" t="inlineStr">
        <is>
          <t>1. Click 'Booking Requests' in the sidebar
2. On the 'SPM43 Awards Dinner' card, click 'Reject with a reason'
3. Type the reason in 'Reason for rejection'
4. Open the 'Suggest another venue' list
5. Choose 'Marina Grand Hall (MAR-GH)' and click 'Reject request'
6. Log out, then log in as daniel.tan@connectsphere.com / password123
7. Click 'All Events' in the sidebar, open 'SPM43 Awards Dinner' and click the 'Venue' tab
8. Click 'Request this venue'</t>
        </is>
      </c>
      <c r="I28" s="4" t="inlineStr">
        <is>
          <t>Step 4: The list starts with 'No venue suggested' and offers the other venues, but not 'Orchard Gallery (ORC-GAL)'.
Step 5: A green 'Booking request rejected' message names Orchard Gallery (ORC-GAL), SPM43 Awards Dinner and '6 May 2027, 19:00 – 7 May 2027, 00:00', and says 'The Coordinator can see your reason and suggestion on the event's Venue tab.' The card leaves the list.
Step 7: Under 'Booking requests' there is one request: Orchard Gallery (ORC-GAL), '6 May 2027, 19:00 – 7 May 2027, 00:00 · Banquet', badge 'Rejected', 'Reason from Venue Staff: Gallery is closed for a private hire that evening.', 'Suggested alternative: Marina Grand Hall (MAR-GH)' and a 'Request this venue' button.
Step 8: The 'Request a venue booking' page opens for Venue 'Marina Grand Hall (MAR-GH)', filled in with Date 6 May 2027, Start time 19:00, End time 22:00, Expected attendance 80 and Room layout Banquet, reading 'Setup: 16:00–19:00 (180 min)', 'Turnaround: 22:00–24:00 (120 min)', 'Room in use: 16:00–24:00'. Nothing is sent until 'Submit request' is clicked.</t>
        </is>
      </c>
    </row>
    <row r="29">
      <c r="A29" s="4" t="inlineStr">
        <is>
          <t>SPM-44-TC02-R</t>
        </is>
      </c>
      <c r="B29" s="4" t="inlineStr">
        <is>
          <t>SPM-44-TC02</t>
        </is>
      </c>
      <c r="C29" s="4" t="inlineStr">
        <is>
          <t>SPM-93</t>
        </is>
      </c>
      <c r="D29" s="4" t="inlineStr">
        <is>
          <t>AC2, AC10</t>
        </is>
      </c>
      <c r="E29" s="4" t="inlineStr">
        <is>
          <t>A request at other times on the same day at the same venue is allowed when the occupied periods do not overlap</t>
        </is>
      </c>
      <c r="F29" s="4" t="inlineStr">
        <is>
          <t>Run npm run fixtures:spm44 before and after this case. 'SPM44 Approved Holder' has an Approved booking at SPM44 Conflict Room (SPM44-PLN) on 5 Apr 2027, 14:00-16:00. 'SPM44 Adjacent Slot' runs 5 Apr 2027, 09:00-11:00 and has no booking. The room has no setup or turnaround time. Logged in as Daniel Tan.</t>
        </is>
      </c>
      <c r="G29" s="4" t="inlineStr">
        <is>
          <t>Event: SPM44 Adjacent Slot (5 Apr 2027, 09:00-11:00) | Venue: SPM44 Conflict Room (SPM44-PLN) | Already booked there: 14:00-16:00 the same day</t>
        </is>
      </c>
      <c r="H29" s="4" t="inlineStr">
        <is>
          <t>1. Click 'All Events' in the sidebar and open 'SPM44 Adjacent Slot'
2. Click the 'Venue' tab
3. Click 'Request booking' on 'SPM44 Conflict Room (SPM44-PLN)'
4. Click 'Submit request'
5. Click 'Back to Venue'</t>
        </is>
      </c>
      <c r="I29" s="4" t="inlineStr">
        <is>
          <t>Step 3: The form is filled in with Date 5 Apr 2027, Start time 09:00, End time 11:00, Expected attendance 30, Room layout Classroom, and reads 'No setup or turnaround needed at this venue.' and 'Room in use: 09:00–11:00'.
Step 4: 'Booking request sent to Venue Staff.' is shown: the 14:00–16:00 booking does not block 09:00–11:00.
Step 5: The request is listed as 'SPM44 Conflict Room (SPM44-PLN)' with 'Main programme · 5 Apr 2027, 09:00–11:00 · Classroom · 30 attendees', 'Hold expires Hold expires' followed by the date and time 7 days after the request was sent, and the badge 'Pending'.</t>
        </is>
      </c>
    </row>
    <row r="30">
      <c r="A30" s="4" t="inlineStr">
        <is>
          <t>SPM-44-TC05-R</t>
        </is>
      </c>
      <c r="B30" s="4" t="inlineStr">
        <is>
          <t>SPM-44-TC05</t>
        </is>
      </c>
      <c r="C30" s="4" t="inlineStr">
        <is>
          <t>SPM-93</t>
        </is>
      </c>
      <c r="D30" s="4" t="inlineStr">
        <is>
          <t>AC7, AC10</t>
        </is>
      </c>
      <c r="E30" s="4" t="inlineStr">
        <is>
          <t>A rejected booking does not hold its times</t>
        </is>
      </c>
      <c r="F30" s="4" t="inlineStr">
        <is>
          <t>Run npm run fixtures:spm44 before and after this case. 'SPM44 Rejected Holder' has a Rejected booking at SPM44 Conflict Room on 7 Apr 2027, 14:00-16:00. 'SPM44 After Rejected' runs 7 Apr 2027, 14:00-16:00 - the same room and times. Logged in as Daniel Tan.</t>
        </is>
      </c>
      <c r="G30" s="4" t="inlineStr">
        <is>
          <t>Event: SPM44 After Rejected (7 Apr 2027, 14:00-16:00) | Venue: SPM44 Conflict Room (SPM44-PLN) | In the way: nothing - the other booking was rejected</t>
        </is>
      </c>
      <c r="H30" s="4" t="inlineStr">
        <is>
          <t>1. Click 'All Events' in the sidebar and open 'SPM44 After Rejected'
2. Click the 'Venue' tab
3. Click 'Request booking' on 'SPM44 Conflict Room (SPM44-PLN)'
4. Click 'Submit request'
5. Click 'Back to Venue'</t>
        </is>
      </c>
      <c r="I30" s="4" t="inlineStr">
        <is>
          <t>Step 3: The form is filled in with Date 7 Apr 2027, Start time 14:00, End time 16:00, and reads 'No setup or turnaround needed at this venue.' and 'Room in use: 14:00–16:00'.
Step 4: 'Booking request sent to Venue Staff.' is shown: a rejected booking holds nothing.
Step 5: The request is listed with 'Main programme · 7 Apr 2027, 14:00–16:00 · Classroom · 30 attendees', 'Hold expires Hold expires' followed by the date and time 7 days after the request was sent, and the badge 'Pending'.</t>
        </is>
      </c>
    </row>
    <row r="31">
      <c r="A31" s="4" t="inlineStr">
        <is>
          <t>SPM-67-TC05-R</t>
        </is>
      </c>
      <c r="B31" s="4" t="inlineStr">
        <is>
          <t>SPM-67-TC05</t>
        </is>
      </c>
      <c r="C31" s="4" t="inlineStr">
        <is>
          <t>SPM-88</t>
        </is>
      </c>
      <c r="D31" s="4" t="inlineStr">
        <is>
          <t>AC8, AC3</t>
        </is>
      </c>
      <c r="E31" s="4" t="inlineStr">
        <is>
          <t>After the event's only booking is released, its venue is shown as outstanding and the Coordinator can request a different venue</t>
        </is>
      </c>
      <c r="F31" s="4" t="inlineStr">
        <is>
          <t>Run npm run fixtures:spm67 before and after this case. 'SPM67 Only Room' (16 Nov 2027, 09:00-12:00, Planning) has one booking, SPM67 Hall, Approved, and no equipment. Logged in as Daniel Tan.</t>
        </is>
      </c>
      <c r="G31" s="4" t="inlineStr">
        <is>
          <t>Event: SPM67 Only Room | Released: SPM67 Hall (SPM67-HAL) | Reason: Hall too large once the client confirmed numbers. | Requested instead: SPM67 Annex (SPM67-ANX)</t>
        </is>
      </c>
      <c r="H31" s="4" t="inlineStr">
        <is>
          <t>1. Click 'All Events' in the sidebar and open 'SPM67 Only Room'
2. Click the 'Venue' tab
3. Click 'Release booking' on the 'SPM67 Hall (SPM67-HAL)' row
4. Type the reason in 'Reason (optional)'
5. Click 'Release booking' in the dialog
6. Click the 'Readiness' tab
7. Click the 'Overview' tab
8. Click 'Confirm event'
9. Click 'Confirm event' in the dialog
10. Click the 'Venue' tab
11. Click 'Request booking' on 'SPM67 Annex (SPM67-ANX)'
12. Click 'Submit request'
13. Click 'Back to Venue'</t>
        </is>
      </c>
      <c r="I31" s="4" t="inlineStr">
        <is>
          <t>Step 1: On the Overview, the 'Venue' row reads 'SPM67 Hall (SPM67-HAL)'.
Step 5: A green alert 'Booking released' reads 'SPM67 Hall (SPM67-HAL) on 16 Nov 2027, 09:00–12:00 is now Released. Venue Staff have been notified. You can request another venue below.' The Hall row shows '16 Nov 2027, 09:00–12:00 · Theatre', 'Released' and 'Reason for release: Hall too large once the client confirmed numbers.'
Step 6: '2 arrangements still block confirmation' is shown. Under 'Venue bookings' the only row is 'No venue booked', 'Outstanding', 'No venue is booked for this event.' 'Operational Safety Check' is 'Outstanding' (Not submitted).
Step 7: The 'Venue' row reads 'Not booked yet'.
Step 9: The event stays 'Planning'. A red alert reads 'This event cannot be confirmed yet: no venue is booked for this event; the Operational Safety Check has not been submitted yet.'
Step 12: 'Booking request sent to Venue Staff.' is shown.
Step 13: The 'Booking requests' card lists 'SPM67 Annex (SPM67-ANX)' with 'Main programme · 16 Nov 2027, 09:00–12:00 · Theatre · 30 attendees', a 'Hold expires' line and 'Pending', and 'SPM67 Hall (SPM67-HAL)' with 'Released'.</t>
        </is>
      </c>
    </row>
    <row r="32">
      <c r="A32" s="4" t="inlineStr">
        <is>
          <t>SPM-68-TC05-R</t>
        </is>
      </c>
      <c r="B32" s="4" t="inlineStr">
        <is>
          <t>SPM-68-TC05</t>
        </is>
      </c>
      <c r="C32" s="4" t="inlineStr">
        <is>
          <t>SPM-88</t>
        </is>
      </c>
      <c r="D32" s="4" t="inlineStr">
        <is>
          <t>AC6, AC4, AC14, AC15</t>
        </is>
      </c>
      <c r="E32" s="4" t="inlineStr">
        <is>
          <t>A flagged venue booking blocks confirmation until it is kept; keeping it clears the flag and leaves the booking unchanged</t>
        </is>
      </c>
      <c r="F32" s="4" t="inlineStr">
        <is>
          <t>Run npm run fixtures:spm68 before and after this case. 'SPM68 Attendance Review' is in Planning, assigned to Daniel Tan, 6 Oct 2027, 09:00-17:00, 80 people, Theatre. Its only booking, SPM68 Hall (Approved, Theatre seats 100), is flagged because the expected attendance changed. Logged in as Daniel Tan.</t>
        </is>
      </c>
      <c r="G32" s="4" t="inlineStr">
        <is>
          <t>Event: SPM68 Attendance Review (Planning) | Booking: SPM68 Hall (Approved, flagged: the expected attendance changed)</t>
        </is>
      </c>
      <c r="H32" s="4" t="inlineStr">
        <is>
          <t>1. Click 'All Events' in the sidebar and open 'SPM68 Attendance Review'
2. Click the 'Readiness' tab
3. Click 'Keep booking' in the 'SPM68 Hall' item
4. Click the 'Venue' tab
5. Click 'Flagged Arrangements' in the sidebar</t>
        </is>
      </c>
      <c r="I32" s="4" t="inlineStr">
        <is>
          <t>Step 2: '2 arrangements still block confirmation' is shown. 'SPM68 Hall' (Booking status: Approved) is 'Outstanding': 'SPM68 Hall for this event is flagged for review: the expected attendance changed.', with 'Review in Flagged Arrangements', 'Keep booking' and 'Mark as not required'. 'Operational Safety Check' is 'Outstanding' (Not submitted).
Step 3: 'Flag cleared' is shown with 'SPM68 Hall was kept as it is.' 'SPM68 Hall' is now 'Complete', with no flag, no 'Keep booking' and no 'Review in Flagged Arrangements'. The message changes to '1 arrangement still blocks confirmation' (the safety check).
Step 4: Under 'Booking requests', SPM68 Hall is still 'Approved' for 6 Oct 2027, 09:00–17:00 in Theatre layout.
Step 5: On the 'Venue bookings' tab there is no item for 'SPM68 Attendance Review'.</t>
        </is>
      </c>
    </row>
    <row r="33">
      <c r="A33" s="4" t="inlineStr">
        <is>
          <t>SPM-68-TC12-R</t>
        </is>
      </c>
      <c r="B33" s="4" t="inlineStr">
        <is>
          <t>SPM-68-TC12</t>
        </is>
      </c>
      <c r="C33" s="4" t="inlineStr">
        <is>
          <t>SPM-86, SPM-87, SPM-88</t>
        </is>
      </c>
      <c r="D33" s="4" t="inlineStr">
        <is>
          <t>AC10</t>
        </is>
      </c>
      <c r="E33" s="4" t="inlineStr">
        <is>
          <t>An event whose only flag is on its registrations can still be confirmed once its safety check is approved, and the flag stays</t>
        </is>
      </c>
      <c r="F33" s="4" t="inlineStr">
        <is>
          <t>Run npm run fixtures:spm68 before and after this case. 'SPM68 Ready To Confirm' is in Planning, assigned to Daniel Tan, 20 Oct 2027, 09:00-17:00, with one approved, unflagged booking at SPM68 Annex, no equipment, and registration set up (capacity 30). Its registrations (8 registered) are flagged because the date or time changed. Logged in as Daniel Tan.</t>
        </is>
      </c>
      <c r="G33" s="4" t="inlineStr">
        <is>
          <t>Event: SPM68 Ready To Confirm (Planning) | Registrations: 8 registered, 0 on the waiting list (flagged: the date or time changed)</t>
        </is>
      </c>
      <c r="H33" s="4" t="inlineStr">
        <is>
          <t>1. Click 'Flagged Arrangements' in the sidebar, then the 'Registrations' tab
2. Click 'Open Overview' in the 'SPM68 Ready To Confirm' item
3. Click the 'Readiness' tab
4. Click the 'Overview' tab
5. Click 'Submit for safety check'
6. Click 'Submit' in the dialog
7. Log out, then log in as hana.yusof@connectsphere.com / password123
8. Click 'Safety Checks' in the sidebar and open 'SPM68 Ready To Confirm'
9. Click 'Record safety decision', choose 'Approve' and click 'Record decision'
10. Log out, then log in as daniel.tan@connectsphere.com / password123
11. Click 'All Events' in the sidebar and open 'SPM68 Ready To Confirm'
12. Click 'Confirm event'
13. Click 'Confirm event' in the dialog
14. Click 'Flagged Arrangements' in the sidebar, then the 'Registrations' tab</t>
        </is>
      </c>
      <c r="I33" s="4" t="inlineStr">
        <is>
          <t>Step 1: The 'SPM68 Ready To Confirm' item shows '8 registered, 0 on the waiting list' and 'Flagged because: the date or time changed', with 'Mark as reviewed' and 'Open Overview'.
Step 3: '1 arrangement still blocks confirmation' is shown. 'SPM68 Annex' and 'Registration setup' are 'Complete': the flagged registrations do not block. The one blocker is 'Operational Safety Check' (Not submitted).
Step 5: A dialog 'Submit for safety check?' reads 'SPM68 Ready To Confirm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'SPM68 Ready To Confirm will be marked Confirmed, and the organiser will be able to see the venue and equipment arranged for it. Anything still outstanding will be listed instead.'
Step 13: 'The event is confirmed. The organiser can now see the arrangements.' is shown and the status badge reads 'Confirmed'.
Step 14: The 'SPM68 Ready To Confirm' item is still listed: confirming did not clear the flag.</t>
        </is>
      </c>
    </row>
    <row r="34">
      <c r="A34" s="4" t="inlineStr">
        <is>
          <t>SPM-68-TC14-R</t>
        </is>
      </c>
      <c r="B34" s="4" t="inlineStr">
        <is>
          <t>SPM-68-TC14</t>
        </is>
      </c>
      <c r="C34" s="4" t="inlineStr">
        <is>
          <t>SPM-88</t>
        </is>
      </c>
      <c r="D34" s="4" t="inlineStr">
        <is>
          <t>AC12, AC13, AC14</t>
        </is>
      </c>
      <c r="E34" s="4" t="inlineStr">
        <is>
          <t>The flagged booking is released from the event's Venue tab; it stays on the record as Released, and the replacement request and the event are unchanged</t>
        </is>
      </c>
      <c r="F34" s="4" t="inlineStr">
        <is>
          <t>SPM-68-TC13 has just been run ('SPM68 Outgrown Room' has a Pending request for SPM68 Spare Room, and its flagged booking at SPM68 Hall is still Approved). Run npm run fixtures:spm68 after this case. Logged in as Daniel Tan.</t>
        </is>
      </c>
      <c r="G34" s="4" t="inlineStr">
        <is>
          <t>Event: SPM68 Outgrown Room (Planning), 8 Oct 2027, 09:00-17:00, 150 people, Theatre | Reason: Room is too small for 150 people.</t>
        </is>
      </c>
      <c r="H34" s="4" t="inlineStr">
        <is>
          <t>1. Click 'Flagged Arrangements' in the sidebar
2. Click 'Open Venue tab' in the 'SPM68 Outgrown Room' item
3. Click 'Release booking' on the 'SPM68 Hall (SPM68-HAL)' row
4. Type the reason in 'Reason (optional)'
5. Click 'Release booking' in the dialog
6. Click the 'Overview' tab
7. Click the 'Readiness' tab
8. Click 'Flagged Arrangements' in the sidebar</t>
        </is>
      </c>
      <c r="I34" s="4" t="inlineStr">
        <is>
          <t>Step 1: The 'SPM68 Outgrown Room' item for SPM68 Hall has 'Find a replacement venue' and 'Open Venue tab', and no 'Keep booking' button.
Step 2: Under 'Booking requests', SPM68 Hall is 'Approved' with 'Release booking', and SPM68 Spare Room is 'Pending'.
Step 5: 'Booking released' reads 'SPM68 Hall (SPM68-HAL) on 8 Oct 2027, 09:00–17:00 is now Released. Venue Staff have been notified. You can request another venue below.' SPM68 Hall shows '8 Oct 2027, 09:00–17:00 · Theatre', 'Released' and 'Reason for release: Room is too small for 150 people.' SPM68 Spare Room still shows 'Main programme · 8 Oct 2027, 09:00–17:00 · Theatre · 150 attendees', a 'Hold expires' line and 'Pending'.
Step 6: The status badge still reads 'Planning', with 8 Oct 2027, 09:00–17:00, 150 expected and Theatre layout.
Step 7: '2 arrangements still block confirmation' is shown. SPM68 Hall is not listed. 'SPM68 Spare Room' (Space: Main programme · Booking status: Pending) is 'Outstanding': 'SPM68 Spare Room (Main programme) for this event is still awaiting a decision from Venue Staff.' 'Operational Safety Check' is 'Outstanding' (Not submitted).
Step 8: On the 'Venue bookings' tab there is no longer an item for 'SPM68 Outgrown Room'.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style="18" min="1" max="1"/>
    <col width="9" customWidth="1" style="18" min="2" max="2"/>
    <col width="12" customWidth="1" style="18" min="3" max="3"/>
    <col width="50" customWidth="1" style="18" min="4" max="4"/>
    <col width="10" customWidth="1" style="18" min="5" max="5"/>
    <col width="13" customWidth="1" style="18" min="6" max="6"/>
    <col width="70" customWidth="1" style="18" min="7" max="7"/>
    <col width="34" customWidth="1" style="18" min="8" max="8"/>
    <col width="26" customWidth="1" style="18" min="9" max="9"/>
    <col width="10" customWidth="1" style="18" min="10" max="10"/>
  </cols>
  <sheetData>
    <row r="1">
      <c r="A1" s="1" t="inlineStr">
        <is>
          <t>Out-of-date test cases</t>
        </is>
      </c>
    </row>
    <row r="2">
      <c r="A2" s="2" t="inlineStr">
        <is>
          <t>Story test cases that no longer match the app because a later story changed the behaviour on purpose. They are not failures. Each story's owner updates the case's JSON and rebuilds the workbook; a rewritten case on the 'Rewritten cases' sheet is a starting point.</t>
        </is>
      </c>
    </row>
    <row r="4">
      <c r="A4" s="14" t="inlineStr">
        <is>
          <t>Test case ID</t>
        </is>
      </c>
      <c r="B4" s="14" t="inlineStr">
        <is>
          <t>Story</t>
        </is>
      </c>
      <c r="C4" s="14" t="inlineStr">
        <is>
          <t>Story owner</t>
        </is>
      </c>
      <c r="D4" s="14" t="inlineStr">
        <is>
          <t>Title</t>
        </is>
      </c>
      <c r="E4" s="14" t="inlineStr">
        <is>
          <t>Type</t>
        </is>
      </c>
      <c r="F4" s="14" t="inlineStr">
        <is>
          <t>Changed by</t>
        </is>
      </c>
      <c r="G4" s="14" t="inlineStr">
        <is>
          <t>What changed</t>
        </is>
      </c>
      <c r="H4" s="14" t="inlineStr">
        <is>
          <t>How we know</t>
        </is>
      </c>
      <c r="I4" s="14" t="inlineStr">
        <is>
          <t>In this regression</t>
        </is>
      </c>
      <c r="J4" s="14" t="inlineStr">
        <is>
          <t>Updated?</t>
        </is>
      </c>
    </row>
    <row r="5">
      <c r="A5" s="4" t="inlineStr">
        <is>
          <t>SPM-33-TC01</t>
        </is>
      </c>
      <c r="B5" s="4" t="inlineStr">
        <is>
          <t>SPM-33</t>
        </is>
      </c>
      <c r="C5" s="4" t="inlineStr">
        <is>
          <t>Kristen</t>
        </is>
      </c>
      <c r="D5" s="4" t="inlineStr">
        <is>
          <t>Every venue booking, equipment line and the safety check are listed with their own status, and Confirm names what is outstanding</t>
        </is>
      </c>
      <c r="E5" s="4" t="inlineStr">
        <is>
          <t>Positive</t>
        </is>
      </c>
      <c r="F5" s="4" t="inlineStr">
        <is>
          <t>SPM-88</t>
        </is>
      </c>
      <c r="G5" s="4" t="inlineStr">
        <is>
          <t>Confirm event now waits for an approved Operational Safety Check. The Readiness tab counts it as a blocker, every refusal ends with '...the Operational Safety Check has not been submitted yet', and the note 'Confirm event does not wait for it yet.' is gone.</t>
        </is>
      </c>
      <c r="H5" s="4" t="inlineStr">
        <is>
          <t>Rewritten and run on a copy of the database, 16 Oct 2026</t>
        </is>
      </c>
      <c r="I5" s="4" t="inlineStr">
        <is>
          <t>Yes - replaced by SPM-33-TC01-R</t>
        </is>
      </c>
      <c r="J5" s="6" t="n"/>
    </row>
    <row r="6">
      <c r="A6" s="4" t="inlineStr">
        <is>
          <t>SPM-33-TC02</t>
        </is>
      </c>
      <c r="B6" s="4" t="inlineStr">
        <is>
          <t>SPM-33</t>
        </is>
      </c>
      <c r="C6" s="4" t="inlineStr">
        <is>
          <t>Kristen</t>
        </is>
      </c>
      <c r="D6" s="4" t="inlineStr">
        <is>
          <t>An event with no venue booking shows 'No venue booked', and nothing for equipment or registration it does not have</t>
        </is>
      </c>
      <c r="E6" s="4" t="inlineStr">
        <is>
          <t>Boundary</t>
        </is>
      </c>
      <c r="F6" s="4" t="inlineStr">
        <is>
          <t>SPM-86, SPM-87, SPM-88</t>
        </is>
      </c>
      <c r="G6" s="4" t="inlineStr">
        <is>
          <t>Confirm event now waits for an approved Operational Safety Check. The Readiness tab counts it as a blocker, every refusal ends with '...the Operational Safety Check has not been submitted yet', and the note 'Confirm event does not wait for it yet.' is gone.</t>
        </is>
      </c>
      <c r="H6" s="4" t="inlineStr">
        <is>
          <t>Found by searching the case text; not run</t>
        </is>
      </c>
      <c r="I6" s="4" t="inlineStr">
        <is>
          <t>No</t>
        </is>
      </c>
      <c r="J6" s="6" t="n"/>
    </row>
    <row r="7">
      <c r="A7" s="4" t="inlineStr">
        <is>
          <t>SPM-33-TC03</t>
        </is>
      </c>
      <c r="B7" s="4" t="inlineStr">
        <is>
          <t>SPM-33</t>
        </is>
      </c>
      <c r="C7" s="4" t="inlineStr">
        <is>
          <t>Kristen</t>
        </is>
      </c>
      <c r="D7" s="4" t="inlineStr">
        <is>
          <t>A multi-session event shows which session each venue arrangement belongs to</t>
        </is>
      </c>
      <c r="E7" s="4" t="inlineStr">
        <is>
          <t>Boundary</t>
        </is>
      </c>
      <c r="F7" s="4" t="inlineStr">
        <is>
          <t>SPM-86, SPM-87, SPM-88</t>
        </is>
      </c>
      <c r="G7" s="4" t="inlineStr">
        <is>
          <t>Confirm event now waits for an approved Operational Safety Check. The Readiness tab counts it as a blocker, every refusal ends with '...the Operational Safety Check has not been submitted yet', and the note 'Confirm event does not wait for it yet.' is gone.</t>
        </is>
      </c>
      <c r="H7" s="4" t="inlineStr">
        <is>
          <t>Found by searching the case text; not run</t>
        </is>
      </c>
      <c r="I7" s="4" t="inlineStr">
        <is>
          <t>No</t>
        </is>
      </c>
      <c r="J7" s="6" t="n"/>
    </row>
    <row r="8">
      <c r="A8" s="4" t="inlineStr">
        <is>
          <t>SPM-33-TC04</t>
        </is>
      </c>
      <c r="B8" s="4" t="inlineStr">
        <is>
          <t>SPM-33</t>
        </is>
      </c>
      <c r="C8" s="4" t="inlineStr">
        <is>
          <t>Kristen</t>
        </is>
      </c>
      <c r="D8" s="4" t="inlineStr">
        <is>
          <t>A second venue requested from the Venue tab is listed on its own, beside the first</t>
        </is>
      </c>
      <c r="E8" s="4" t="inlineStr">
        <is>
          <t>Positive</t>
        </is>
      </c>
      <c r="F8" s="4" t="inlineStr">
        <is>
          <t>SPM-86, SPM-87, SPM-88</t>
        </is>
      </c>
      <c r="G8" s="4" t="inlineStr">
        <is>
          <t>Confirm event now waits for an approved Operational Safety Check. The Readiness tab counts it as a blocker, every refusal ends with '...the Operational Safety Check has not been submitted yet', and the note 'Confirm event does not wait for it yet.' is gone.</t>
        </is>
      </c>
      <c r="H8" s="4" t="inlineStr">
        <is>
          <t>Found by searching the case text; not run</t>
        </is>
      </c>
      <c r="I8" s="4" t="inlineStr">
        <is>
          <t>No</t>
        </is>
      </c>
      <c r="J8" s="6" t="n"/>
    </row>
    <row r="9">
      <c r="A9" s="4" t="inlineStr">
        <is>
          <t>SPM-33-TC05</t>
        </is>
      </c>
      <c r="B9" s="4" t="inlineStr">
        <is>
          <t>SPM-33</t>
        </is>
      </c>
      <c r="C9" s="4" t="inlineStr">
        <is>
          <t>Kristen</t>
        </is>
      </c>
      <c r="D9" s="4" t="inlineStr">
        <is>
          <t>A flagged venue booking and equipment reservation are shown as outstanding, with why, and prevent confirmation</t>
        </is>
      </c>
      <c r="E9" s="4" t="inlineStr">
        <is>
          <t>Positive</t>
        </is>
      </c>
      <c r="F9" s="4" t="inlineStr">
        <is>
          <t>SPM-88</t>
        </is>
      </c>
      <c r="G9" s="4" t="inlineStr">
        <is>
          <t>Confirm event now waits for an approved Operational Safety Check. The Readiness tab counts it as a blocker, every refusal ends with '...the Operational Safety Check has not been submitted yet', and the note 'Confirm event does not wait for it yet.' is gone.</t>
        </is>
      </c>
      <c r="H9" s="4" t="inlineStr">
        <is>
          <t>Rewritten and run on a copy of the database, 16 Oct 2026</t>
        </is>
      </c>
      <c r="I9" s="4" t="inlineStr">
        <is>
          <t>Yes - replaced by SPM-33-TC05-R</t>
        </is>
      </c>
      <c r="J9" s="6" t="n"/>
    </row>
    <row r="10">
      <c r="A10" s="4" t="inlineStr">
        <is>
          <t>SPM-33-TC07</t>
        </is>
      </c>
      <c r="B10" s="4" t="inlineStr">
        <is>
          <t>SPM-33</t>
        </is>
      </c>
      <c r="C10" s="4" t="inlineStr">
        <is>
          <t>Kristen</t>
        </is>
      </c>
      <c r="D10" s="4" t="inlineStr">
        <is>
          <t>A decided safety check shows the Safety Officer's decision</t>
        </is>
      </c>
      <c r="E10" s="4" t="inlineStr">
        <is>
          <t>Positive</t>
        </is>
      </c>
      <c r="F10" s="4" t="inlineStr">
        <is>
          <t>SPM-86, SPM-87, SPM-88</t>
        </is>
      </c>
      <c r="G10" s="4" t="inlineStr">
        <is>
          <t>Confirm event now waits for an approved Operational Safety Check. The Readiness tab counts it as a blocker, every refusal ends with '...the Operational Safety Check has not been submitted yet', and the note 'Confirm event does not wait for it yet.' is gone.</t>
        </is>
      </c>
      <c r="H10" s="4" t="inlineStr">
        <is>
          <t>Found by searching the case text; not run</t>
        </is>
      </c>
      <c r="I10" s="4" t="inlineStr">
        <is>
          <t>No</t>
        </is>
      </c>
      <c r="J10" s="6" t="n"/>
    </row>
    <row r="11">
      <c r="A11" s="4" t="inlineStr">
        <is>
          <t>SPM-33-TC08</t>
        </is>
      </c>
      <c r="B11" s="4" t="inlineStr">
        <is>
          <t>SPM-33</t>
        </is>
      </c>
      <c r="C11" s="4" t="inlineStr">
        <is>
          <t>Kristen</t>
        </is>
      </c>
      <c r="D11" s="4" t="inlineStr">
        <is>
          <t>The assigned Coordinator marks an equipment line Technical Support cannot provide as not required</t>
        </is>
      </c>
      <c r="E11" s="4" t="inlineStr">
        <is>
          <t>Positive</t>
        </is>
      </c>
      <c r="F11" s="4" t="inlineStr">
        <is>
          <t>SPM-88</t>
        </is>
      </c>
      <c r="G11" s="4" t="inlineStr">
        <is>
          <t>Confirm event now waits for an approved Operational Safety Check. The Readiness tab counts it as a blocker, every refusal ends with '...the Operational Safety Check has not been submitted yet', and the note 'Confirm event does not wait for it yet.' is gone.</t>
        </is>
      </c>
      <c r="H11" s="4" t="inlineStr">
        <is>
          <t>Rewritten and run on a copy of the database, 16 Oct 2026</t>
        </is>
      </c>
      <c r="I11" s="4" t="inlineStr">
        <is>
          <t>Yes - replaced by SPM-33-TC08-R</t>
        </is>
      </c>
      <c r="J11" s="6" t="n"/>
    </row>
    <row r="12">
      <c r="A12" s="4" t="inlineStr">
        <is>
          <t>SPM-33-TC09</t>
        </is>
      </c>
      <c r="B12" s="4" t="inlineStr">
        <is>
          <t>SPM-33</t>
        </is>
      </c>
      <c r="C12" s="4" t="inlineStr">
        <is>
          <t>Kristen</t>
        </is>
      </c>
      <c r="D12" s="4" t="inlineStr">
        <is>
          <t>The Coordinator reverses a not-required decision and the arrangement is outstanding again</t>
        </is>
      </c>
      <c r="E12" s="4" t="inlineStr">
        <is>
          <t>Positive</t>
        </is>
      </c>
      <c r="F12" s="4" t="inlineStr">
        <is>
          <t>SPM-88</t>
        </is>
      </c>
      <c r="G12" s="4" t="inlineStr">
        <is>
          <t>Confirm event now waits for an approved Operational Safety Check. The Readiness tab counts it as a blocker, every refusal ends with '...the Operational Safety Check has not been submitted yet', and the note 'Confirm event does not wait for it yet.' is gone.</t>
        </is>
      </c>
      <c r="H12" s="4" t="inlineStr">
        <is>
          <t>Rewritten and run on a copy of the database, 16 Oct 2026</t>
        </is>
      </c>
      <c r="I12" s="4" t="inlineStr">
        <is>
          <t>Yes - replaced by SPM-33-TC09-R</t>
        </is>
      </c>
      <c r="J12" s="6" t="n"/>
    </row>
    <row r="13">
      <c r="A13" s="4" t="inlineStr">
        <is>
          <t>SPM-33-TC10</t>
        </is>
      </c>
      <c r="B13" s="4" t="inlineStr">
        <is>
          <t>SPM-33</t>
        </is>
      </c>
      <c r="C13" s="4" t="inlineStr">
        <is>
          <t>Kristen</t>
        </is>
      </c>
      <c r="D13" s="4" t="inlineStr">
        <is>
          <t>One of two venue bookings is marked as not required and the other is unchanged</t>
        </is>
      </c>
      <c r="E13" s="4" t="inlineStr">
        <is>
          <t>Positive</t>
        </is>
      </c>
      <c r="F13" s="4" t="inlineStr">
        <is>
          <t>SPM-86, SPM-87, SPM-88</t>
        </is>
      </c>
      <c r="G13" s="4" t="inlineStr">
        <is>
          <t>Confirm event now waits for an approved Operational Safety Check. The Readiness tab counts it as a blocker, every refusal ends with '...the Operational Safety Check has not been submitted yet', and the note 'Confirm event does not wait for it yet.' is gone.</t>
        </is>
      </c>
      <c r="H13" s="4" t="inlineStr">
        <is>
          <t>Found by searching the case text; not run</t>
        </is>
      </c>
      <c r="I13" s="4" t="inlineStr">
        <is>
          <t>No</t>
        </is>
      </c>
      <c r="J13" s="6" t="n"/>
    </row>
    <row r="14">
      <c r="A14" s="4" t="inlineStr">
        <is>
          <t>SPM-33-TC11</t>
        </is>
      </c>
      <c r="B14" s="4" t="inlineStr">
        <is>
          <t>SPM-33</t>
        </is>
      </c>
      <c r="C14" s="4" t="inlineStr">
        <is>
          <t>Kristen</t>
        </is>
      </c>
      <c r="D14" s="4" t="inlineStr">
        <is>
          <t>Marking an event's only venue booking as not required still leaves it without a venue</t>
        </is>
      </c>
      <c r="E14" s="4" t="inlineStr">
        <is>
          <t>Boundary</t>
        </is>
      </c>
      <c r="F14" s="4" t="inlineStr">
        <is>
          <t>SPM-86, SPM-87, SPM-88</t>
        </is>
      </c>
      <c r="G14" s="4" t="inlineStr">
        <is>
          <t>Confirm event now waits for an approved Operational Safety Check. The Readiness tab counts it as a blocker, every refusal ends with '...the Operational Safety Check has not been submitted yet', and the note 'Confirm event does not wait for it yet.' is gone.</t>
        </is>
      </c>
      <c r="H14" s="4" t="inlineStr">
        <is>
          <t>Found by searching the case text; not run</t>
        </is>
      </c>
      <c r="I14" s="4" t="inlineStr">
        <is>
          <t>No</t>
        </is>
      </c>
      <c r="J14" s="6" t="n"/>
    </row>
    <row r="15">
      <c r="A15" s="4" t="inlineStr">
        <is>
          <t>SPM-33-TC12</t>
        </is>
      </c>
      <c r="B15" s="4" t="inlineStr">
        <is>
          <t>SPM-33</t>
        </is>
      </c>
      <c r="C15" s="4" t="inlineStr">
        <is>
          <t>Kristen</t>
        </is>
      </c>
      <c r="D15" s="4" t="inlineStr">
        <is>
          <t>Registration that is enabled but has no capacity is outstanding until it is marked as not required</t>
        </is>
      </c>
      <c r="E15" s="4" t="inlineStr">
        <is>
          <t>Positive</t>
        </is>
      </c>
      <c r="F15" s="4" t="inlineStr">
        <is>
          <t>SPM-88</t>
        </is>
      </c>
      <c r="G15" s="4" t="inlineStr">
        <is>
          <t>Confirm event now waits for an approved Operational Safety Check. The Readiness tab counts it as a blocker, every refusal ends with '...the Operational Safety Check has not been submitted yet', and the note 'Confirm event does not wait for it yet.' is gone.</t>
        </is>
      </c>
      <c r="H15" s="4" t="inlineStr">
        <is>
          <t>Rewritten and run on a copy of the database, 16 Oct 2026</t>
        </is>
      </c>
      <c r="I15" s="4" t="inlineStr">
        <is>
          <t>Yes - replaced by SPM-33-TC12-R</t>
        </is>
      </c>
      <c r="J15" s="6" t="n"/>
    </row>
    <row r="16">
      <c r="A16" s="4" t="inlineStr">
        <is>
          <t>SPM-33-TC13</t>
        </is>
      </c>
      <c r="B16" s="4" t="inlineStr">
        <is>
          <t>SPM-33</t>
        </is>
      </c>
      <c r="C16" s="4" t="inlineStr">
        <is>
          <t>Kristen</t>
        </is>
      </c>
      <c r="D16" s="4" t="inlineStr">
        <is>
          <t>An equipment line that cannot be provided prevents confirmation until it is marked as not required</t>
        </is>
      </c>
      <c r="E16" s="4" t="inlineStr">
        <is>
          <t>Positive</t>
        </is>
      </c>
      <c r="F16" s="4" t="inlineStr">
        <is>
          <t>SPM-86, SPM-87, SPM-88</t>
        </is>
      </c>
      <c r="G16" s="4" t="inlineStr">
        <is>
          <t>Confirm event now waits for an approved Operational Safety Check. The Readiness tab counts it as a blocker, every refusal ends with '...the Operational Safety Check has not been submitted yet', and the note 'Confirm event does not wait for it yet.' is gone.</t>
        </is>
      </c>
      <c r="H16" s="4" t="inlineStr">
        <is>
          <t>Found by searching the case text; not run</t>
        </is>
      </c>
      <c r="I16" s="4" t="inlineStr">
        <is>
          <t>No</t>
        </is>
      </c>
      <c r="J16" s="6" t="n"/>
    </row>
    <row r="17">
      <c r="A17" s="4" t="inlineStr">
        <is>
          <t>SPM-33-TC14</t>
        </is>
      </c>
      <c r="B17" s="4" t="inlineStr">
        <is>
          <t>SPM-33</t>
        </is>
      </c>
      <c r="C17" s="4" t="inlineStr">
        <is>
          <t>Kristen</t>
        </is>
      </c>
      <c r="D17" s="4" t="inlineStr">
        <is>
          <t>A Coordinator who is not the assigned one can view the arrangements but cannot mark them</t>
        </is>
      </c>
      <c r="E17" s="4" t="inlineStr">
        <is>
          <t>Negative</t>
        </is>
      </c>
      <c r="F17" s="4" t="inlineStr">
        <is>
          <t>SPM-86, SPM-87, SPM-88</t>
        </is>
      </c>
      <c r="G17" s="4" t="inlineStr">
        <is>
          <t>Confirm event now waits for an approved Operational Safety Check. The Readiness tab counts it as a blocker, every refusal ends with '...the Operational Safety Check has not been submitted yet', and the note 'Confirm event does not wait for it yet.' is gone.</t>
        </is>
      </c>
      <c r="H17" s="4" t="inlineStr">
        <is>
          <t>Found by searching the case text; not run</t>
        </is>
      </c>
      <c r="I17" s="4" t="inlineStr">
        <is>
          <t>No</t>
        </is>
      </c>
      <c r="J17" s="6" t="n"/>
    </row>
    <row r="18">
      <c r="A18" s="4" t="inlineStr">
        <is>
          <t>SPM-33-TC17</t>
        </is>
      </c>
      <c r="B18" s="4" t="inlineStr">
        <is>
          <t>SPM-33</t>
        </is>
      </c>
      <c r="C18" s="4" t="inlineStr">
        <is>
          <t>Kristen</t>
        </is>
      </c>
      <c r="D18" s="4" t="inlineStr">
        <is>
          <t>A visitor who is not logged in is sent to log in</t>
        </is>
      </c>
      <c r="E18" s="4" t="inlineStr">
        <is>
          <t>Negative</t>
        </is>
      </c>
      <c r="F18" s="4" t="inlineStr">
        <is>
          <t>SPM-86, SPM-87, SPM-88</t>
        </is>
      </c>
      <c r="G18" s="4" t="inlineStr">
        <is>
          <t>Confirm event now waits for an approved Operational Safety Check. The Readiness tab counts it as a blocker, every refusal ends with '...the Operational Safety Check has not been submitted yet', and the note 'Confirm event does not wait for it yet.' is gone.</t>
        </is>
      </c>
      <c r="H18" s="4" t="inlineStr">
        <is>
          <t>Found by searching the case text; not run</t>
        </is>
      </c>
      <c r="I18" s="4" t="inlineStr">
        <is>
          <t>No</t>
        </is>
      </c>
      <c r="J18" s="6" t="n"/>
    </row>
    <row r="19">
      <c r="A19" s="4" t="inlineStr">
        <is>
          <t>SPM-34-TC01</t>
        </is>
      </c>
      <c r="B19" s="4" t="inlineStr">
        <is>
          <t>SPM-34</t>
        </is>
      </c>
      <c r="C19" s="4" t="inlineStr">
        <is>
          <t>Jordan</t>
        </is>
      </c>
      <c r="D19" s="4" t="inlineStr">
        <is>
          <t>An event whose arrangements are all complete can be confirmed</t>
        </is>
      </c>
      <c r="E19" s="4" t="inlineStr">
        <is>
          <t>Positive</t>
        </is>
      </c>
      <c r="F19" s="4" t="inlineStr">
        <is>
          <t>SPM-86, SPM-87, SPM-88</t>
        </is>
      </c>
      <c r="G19" s="4" t="inlineStr">
        <is>
          <t>Confirm event now waits for an approved Operational Safety Check. The Readiness tab counts it as a blocker, every refusal ends with '...the Operational Safety Check has not been submitted yet', and the note 'Confirm event does not wait for it yet.' is gone.</t>
        </is>
      </c>
      <c r="H19" s="4" t="inlineStr">
        <is>
          <t>Rewritten and run on a copy of the database, 16 Oct 2026</t>
        </is>
      </c>
      <c r="I19" s="4" t="inlineStr">
        <is>
          <t>Yes - replaced by SPM-34-TC01-R</t>
        </is>
      </c>
      <c r="J19" s="6" t="n"/>
    </row>
    <row r="20">
      <c r="A20" s="4" t="inlineStr">
        <is>
          <t>SPM-34-TC02</t>
        </is>
      </c>
      <c r="B20" s="4" t="inlineStr">
        <is>
          <t>SPM-34</t>
        </is>
      </c>
      <c r="C20" s="4" t="inlineStr">
        <is>
          <t>Jordan</t>
        </is>
      </c>
      <c r="D20" s="4" t="inlineStr">
        <is>
          <t>The venue and equipment stay attached to the event after it is confirmed</t>
        </is>
      </c>
      <c r="E20" s="4" t="inlineStr">
        <is>
          <t>Positive</t>
        </is>
      </c>
      <c r="F20" s="4" t="inlineStr">
        <is>
          <t>SPM-88</t>
        </is>
      </c>
      <c r="G20" s="4" t="inlineStr">
        <is>
          <t>Confirm event now waits for an approved Operational Safety Check. The Readiness tab counts it as a blocker, every refusal ends with '...the Operational Safety Check has not been submitted yet', and the note 'Confirm event does not wait for it yet.' is gone.</t>
        </is>
      </c>
      <c r="H20" s="4" t="inlineStr">
        <is>
          <t>Rewritten and run on a copy of the database, 16 Oct 2026</t>
        </is>
      </c>
      <c r="I20" s="4" t="inlineStr">
        <is>
          <t>Yes - replaced by SPM-34-TC02-R</t>
        </is>
      </c>
      <c r="J20" s="6" t="n"/>
    </row>
    <row r="21">
      <c r="A21" s="4" t="inlineStr">
        <is>
          <t>SPM-34-TC03</t>
        </is>
      </c>
      <c r="B21" s="4" t="inlineStr">
        <is>
          <t>SPM-34</t>
        </is>
      </c>
      <c r="C21" s="4" t="inlineStr">
        <is>
          <t>Jordan</t>
        </is>
      </c>
      <c r="D21" s="4" t="inlineStr">
        <is>
          <t>The Organiser can see the confirmed event and its arrangements</t>
        </is>
      </c>
      <c r="E21" s="4" t="inlineStr">
        <is>
          <t>Positive</t>
        </is>
      </c>
      <c r="F21" s="4" t="inlineStr">
        <is>
          <t>SPM-88</t>
        </is>
      </c>
      <c r="G21" s="4" t="inlineStr">
        <is>
          <t>Confirm event now waits for an approved Operational Safety Check. The Readiness tab counts it as a blocker, every refusal ends with '...the Operational Safety Check has not been submitted yet', and the note 'Confirm event does not wait for it yet.' is gone.</t>
        </is>
      </c>
      <c r="H21" s="4" t="inlineStr">
        <is>
          <t>Rewritten and run on a copy of the database, 16 Oct 2026</t>
        </is>
      </c>
      <c r="I21" s="4" t="inlineStr">
        <is>
          <t>Yes - replaced by SPM-34-TC03-R</t>
        </is>
      </c>
      <c r="J21" s="6" t="n"/>
    </row>
    <row r="22">
      <c r="A22" s="4" t="inlineStr">
        <is>
          <t>SPM-34-TC04</t>
        </is>
      </c>
      <c r="B22" s="4" t="inlineStr">
        <is>
          <t>SPM-34</t>
        </is>
      </c>
      <c r="C22" s="4" t="inlineStr">
        <is>
          <t>Jordan</t>
        </is>
      </c>
      <c r="D22" s="4" t="inlineStr">
        <is>
          <t>An event that needs no equipment confirms on its venue alone</t>
        </is>
      </c>
      <c r="E22" s="4" t="inlineStr">
        <is>
          <t>Positive</t>
        </is>
      </c>
      <c r="F22" s="4" t="inlineStr">
        <is>
          <t>SPM-86, SPM-87, SPM-88</t>
        </is>
      </c>
      <c r="G22" s="4" t="inlineStr">
        <is>
          <t>Confirm event now waits for an approved Operational Safety Check. The Readiness tab counts it as a blocker, every refusal ends with '...the Operational Safety Check has not been submitted yet', and the note 'Confirm event does not wait for it yet.' is gone.</t>
        </is>
      </c>
      <c r="H22" s="4" t="inlineStr">
        <is>
          <t>Rewritten and run on a copy of the database, 16 Oct 2026</t>
        </is>
      </c>
      <c r="I22" s="4" t="inlineStr">
        <is>
          <t>Yes - replaced by SPM-34-TC04-R</t>
        </is>
      </c>
      <c r="J22" s="6" t="n"/>
    </row>
    <row r="23">
      <c r="A23" s="4" t="inlineStr">
        <is>
          <t>SPM-34-TC05</t>
        </is>
      </c>
      <c r="B23" s="4" t="inlineStr">
        <is>
          <t>SPM-34</t>
        </is>
      </c>
      <c r="C23" s="4" t="inlineStr">
        <is>
          <t>Jordan</t>
        </is>
      </c>
      <c r="D23" s="4" t="inlineStr">
        <is>
          <t>Equipment that Technical Support could only partly supply still counts as arranged</t>
        </is>
      </c>
      <c r="E23" s="4" t="inlineStr">
        <is>
          <t>Boundary</t>
        </is>
      </c>
      <c r="F23" s="4" t="inlineStr">
        <is>
          <t>SPM-86, SPM-87, SPM-88</t>
        </is>
      </c>
      <c r="G23" s="4" t="inlineStr">
        <is>
          <t>Confirm event now waits for an approved Operational Safety Check. The Readiness tab counts it as a blocker, every refusal ends with '...the Operational Safety Check has not been submitted yet', and the note 'Confirm event does not wait for it yet.' is gone.</t>
        </is>
      </c>
      <c r="H23" s="4" t="inlineStr">
        <is>
          <t>Found by searching the case text; not run</t>
        </is>
      </c>
      <c r="I23" s="4" t="inlineStr">
        <is>
          <t>No</t>
        </is>
      </c>
      <c r="J23" s="6" t="n"/>
    </row>
    <row r="24">
      <c r="A24" s="4" t="inlineStr">
        <is>
          <t>SPM-34-TC06</t>
        </is>
      </c>
      <c r="B24" s="4" t="inlineStr">
        <is>
          <t>SPM-34</t>
        </is>
      </c>
      <c r="C24" s="4" t="inlineStr">
        <is>
          <t>Jordan</t>
        </is>
      </c>
      <c r="D24" s="4" t="inlineStr">
        <is>
          <t>An event with no venue cannot be confirmed, and the missing venue is named</t>
        </is>
      </c>
      <c r="E24" s="4" t="inlineStr">
        <is>
          <t>Negative</t>
        </is>
      </c>
      <c r="F24" s="4" t="inlineStr">
        <is>
          <t>SPM-86, SPM-87, SPM-88</t>
        </is>
      </c>
      <c r="G24" s="4" t="inlineStr">
        <is>
          <t>Confirm event now waits for an approved Operational Safety Check. The Readiness tab counts it as a blocker, every refusal ends with '...the Operational Safety Check has not been submitted yet', and the note 'Confirm event does not wait for it yet.' is gone.</t>
        </is>
      </c>
      <c r="H24" s="4" t="inlineStr">
        <is>
          <t>Found by searching the case text; not run</t>
        </is>
      </c>
      <c r="I24" s="4" t="inlineStr">
        <is>
          <t>No</t>
        </is>
      </c>
      <c r="J24" s="6" t="n"/>
    </row>
    <row r="25">
      <c r="A25" s="4" t="inlineStr">
        <is>
          <t>SPM-34-TC07</t>
        </is>
      </c>
      <c r="B25" s="4" t="inlineStr">
        <is>
          <t>SPM-34</t>
        </is>
      </c>
      <c r="C25" s="4" t="inlineStr">
        <is>
          <t>Jordan</t>
        </is>
      </c>
      <c r="D25" s="4" t="inlineStr">
        <is>
          <t>A venue request still awaiting a decision does not count as an arrangement</t>
        </is>
      </c>
      <c r="E25" s="4" t="inlineStr">
        <is>
          <t>Boundary</t>
        </is>
      </c>
      <c r="F25" s="4" t="inlineStr">
        <is>
          <t>SPM-86, SPM-87, SPM-88</t>
        </is>
      </c>
      <c r="G25" s="4" t="inlineStr">
        <is>
          <t>Confirm event now waits for an approved Operational Safety Check. The Readiness tab counts it as a blocker, every refusal ends with '...the Operational Safety Check has not been submitted yet', and the note 'Confirm event does not wait for it yet.' is gone.</t>
        </is>
      </c>
      <c r="H25" s="4" t="inlineStr">
        <is>
          <t>Found by searching the case text; not run</t>
        </is>
      </c>
      <c r="I25" s="4" t="inlineStr">
        <is>
          <t>No</t>
        </is>
      </c>
      <c r="J25" s="6" t="n"/>
    </row>
    <row r="26">
      <c r="A26" s="4" t="inlineStr">
        <is>
          <t>SPM-40-TC10</t>
        </is>
      </c>
      <c r="B26" s="4" t="inlineStr">
        <is>
          <t>SPM-40</t>
        </is>
      </c>
      <c r="C26" s="4" t="inlineStr">
        <is>
          <t>Kayalvizhi</t>
        </is>
      </c>
      <c r="D26" s="4" t="inlineStr">
        <is>
          <t>A venue whose setup slot is taken by the next morning's booking is hidden</t>
        </is>
      </c>
      <c r="E26" s="4" t="inlineStr">
        <is>
          <t>Boundary</t>
        </is>
      </c>
      <c r="F26" s="4" t="inlineStr">
        <is>
          <t>SPM-93</t>
        </is>
      </c>
      <c r="G26"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6" s="4" t="inlineStr">
        <is>
          <t>Found by searching the case text; not run</t>
        </is>
      </c>
      <c r="I26" s="4" t="inlineStr">
        <is>
          <t>No</t>
        </is>
      </c>
      <c r="J26" s="6" t="n"/>
    </row>
    <row r="27">
      <c r="A27" s="4" t="inlineStr">
        <is>
          <t>SPM-42-TC01</t>
        </is>
      </c>
      <c r="B27" s="4" t="inlineStr">
        <is>
          <t>SPM-42</t>
        </is>
      </c>
      <c r="C27" s="4" t="inlineStr">
        <is>
          <t>Sammi</t>
        </is>
      </c>
      <c r="D27" s="4" t="inlineStr">
        <is>
          <t>Coordinator requests a suitable venue, with venue requirements and layout</t>
        </is>
      </c>
      <c r="E27" s="4" t="inlineStr">
        <is>
          <t>Positive</t>
        </is>
      </c>
      <c r="F27" s="4" t="inlineStr">
        <is>
          <t>SPM-93, SPM-90</t>
        </is>
      </c>
      <c r="G27"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case's venue, Changi Conference Centre, cannot take a 09:00 start any more (its 120 min setup would begin before it opens at 07:30). The rewrite uses Marina Auditorium.</t>
        </is>
      </c>
      <c r="H27" s="4" t="inlineStr">
        <is>
          <t>Rewritten and run on a copy of the database, 16 Oct 2026</t>
        </is>
      </c>
      <c r="I27" s="4" t="inlineStr">
        <is>
          <t>Yes - replaced by SPM-42-TC01-R</t>
        </is>
      </c>
      <c r="J27" s="6" t="n"/>
    </row>
    <row r="28">
      <c r="A28" s="4" t="inlineStr">
        <is>
          <t>SPM-42-TC03</t>
        </is>
      </c>
      <c r="B28" s="4" t="inlineStr">
        <is>
          <t>SPM-42</t>
        </is>
      </c>
      <c r="C28" s="4" t="inlineStr">
        <is>
          <t>Sammi</t>
        </is>
      </c>
      <c r="D28" s="4" t="inlineStr">
        <is>
          <t>A request for one slot books that whole slot; venue requirements may be left empty</t>
        </is>
      </c>
      <c r="E28" s="4" t="inlineStr">
        <is>
          <t>Positive</t>
        </is>
      </c>
      <c r="F28" s="4" t="inlineStr">
        <is>
          <t>SPM-93</t>
        </is>
      </c>
      <c r="G28"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8" s="4" t="inlineStr">
        <is>
          <t>Found by searching the case text; not run</t>
        </is>
      </c>
      <c r="I28" s="4" t="inlineStr">
        <is>
          <t>No</t>
        </is>
      </c>
      <c r="J28" s="6" t="n"/>
    </row>
    <row r="29">
      <c r="A29" s="4" t="inlineStr">
        <is>
          <t>SPM-42-TC04</t>
        </is>
      </c>
      <c r="B29" s="4" t="inlineStr">
        <is>
          <t>SPM-42</t>
        </is>
      </c>
      <c r="C29" s="4" t="inlineStr">
        <is>
          <t>Sammi</t>
        </is>
      </c>
      <c r="D29" s="4" t="inlineStr">
        <is>
          <t>An event with no sessions spanning AM and PM is requested on its own date and consumes both slots in full</t>
        </is>
      </c>
      <c r="E29" s="4" t="inlineStr">
        <is>
          <t>Positive</t>
        </is>
      </c>
      <c r="F29" s="4" t="inlineStr">
        <is>
          <t>SPM-93, SPM-82</t>
        </is>
      </c>
      <c r="G29"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9" s="4" t="inlineStr">
        <is>
          <t>Rewritten and run on a copy of the database, 16 Oct 2026</t>
        </is>
      </c>
      <c r="I29" s="4" t="inlineStr">
        <is>
          <t>Yes - replaced by SPM-42-TC04-R</t>
        </is>
      </c>
      <c r="J29" s="6" t="n"/>
    </row>
    <row r="30">
      <c r="A30" s="4" t="inlineStr">
        <is>
          <t>SPM-42-TC05</t>
        </is>
      </c>
      <c r="B30" s="4" t="inlineStr">
        <is>
          <t>SPM-42</t>
        </is>
      </c>
      <c r="C30" s="4" t="inlineStr">
        <is>
          <t>Sammi</t>
        </is>
      </c>
      <c r="D30" s="4" t="inlineStr">
        <is>
          <t>Slot choices that are empty, or not next to each other, are refused (team decision: contiguous slots)</t>
        </is>
      </c>
      <c r="E30" s="4" t="inlineStr">
        <is>
          <t>Negative</t>
        </is>
      </c>
      <c r="F30" s="4" t="inlineStr">
        <is>
          <t>SPM-93</t>
        </is>
      </c>
      <c r="G30"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0" s="4" t="inlineStr">
        <is>
          <t>Found by searching the case text; not run</t>
        </is>
      </c>
      <c r="I30" s="4" t="inlineStr">
        <is>
          <t>No</t>
        </is>
      </c>
      <c r="J30" s="6" t="n"/>
    </row>
    <row r="31">
      <c r="A31" s="4" t="inlineStr">
        <is>
          <t>SPM-42-TC06</t>
        </is>
      </c>
      <c r="B31" s="4" t="inlineStr">
        <is>
          <t>SPM-42</t>
        </is>
      </c>
      <c r="C31" s="4" t="inlineStr">
        <is>
          <t>Sammi</t>
        </is>
      </c>
      <c r="D31" s="4" t="inlineStr">
        <is>
          <t>Setup and turnaround each take exactly one adjacent slot, including the previous or following day</t>
        </is>
      </c>
      <c r="E31" s="4" t="inlineStr">
        <is>
          <t>Boundary</t>
        </is>
      </c>
      <c r="F31" s="4" t="inlineStr">
        <is>
          <t>SPM-93</t>
        </is>
      </c>
      <c r="G31"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1" s="4" t="inlineStr">
        <is>
          <t>Found by searching the case text; not run</t>
        </is>
      </c>
      <c r="I31" s="4" t="inlineStr">
        <is>
          <t>No</t>
        </is>
      </c>
      <c r="J31" s="6" t="n"/>
    </row>
    <row r="32">
      <c r="A32" s="4" t="inlineStr">
        <is>
          <t>SPM-42-TC07</t>
        </is>
      </c>
      <c r="B32" s="4" t="inlineStr">
        <is>
          <t>SPM-42</t>
        </is>
      </c>
      <c r="C32" s="4" t="inlineStr">
        <is>
          <t>Sammi</t>
        </is>
      </c>
      <c r="D32" s="4" t="inlineStr">
        <is>
          <t>A venue with no setup or turnaround holds only the chosen slots, even one more than the event needs</t>
        </is>
      </c>
      <c r="E32" s="4" t="inlineStr">
        <is>
          <t>Boundary</t>
        </is>
      </c>
      <c r="F32" s="4" t="inlineStr">
        <is>
          <t>SPM-93</t>
        </is>
      </c>
      <c r="G32"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2" s="4" t="inlineStr">
        <is>
          <t>Found by searching the case text; not run</t>
        </is>
      </c>
      <c r="I32" s="4" t="inlineStr">
        <is>
          <t>No</t>
        </is>
      </c>
      <c r="J32" s="6" t="n"/>
    </row>
    <row r="33">
      <c r="A33" s="4" t="inlineStr">
        <is>
          <t>SPM-42-TC08</t>
        </is>
      </c>
      <c r="B33" s="4" t="inlineStr">
        <is>
          <t>SPM-42</t>
        </is>
      </c>
      <c r="C33" s="4" t="inlineStr">
        <is>
          <t>Sammi</t>
        </is>
      </c>
      <c r="D33" s="4" t="inlineStr">
        <is>
          <t>Slots that do not cover the session's (or event's) own time are refused</t>
        </is>
      </c>
      <c r="E33" s="4" t="inlineStr">
        <is>
          <t>Negative</t>
        </is>
      </c>
      <c r="F33" s="4" t="inlineStr">
        <is>
          <t>SPM-93</t>
        </is>
      </c>
      <c r="G33"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3" s="4" t="inlineStr">
        <is>
          <t>Found by searching the case text; not run</t>
        </is>
      </c>
      <c r="I33" s="4" t="inlineStr">
        <is>
          <t>No</t>
        </is>
      </c>
      <c r="J33" s="6" t="n"/>
    </row>
    <row r="34">
      <c r="A34" s="4" t="inlineStr">
        <is>
          <t>SPM-42-TC09</t>
        </is>
      </c>
      <c r="B34" s="4" t="inlineStr">
        <is>
          <t>SPM-42</t>
        </is>
      </c>
      <c r="C34" s="4" t="inlineStr">
        <is>
          <t>Sammi</t>
        </is>
      </c>
      <c r="D34" s="4" t="inlineStr">
        <is>
          <t>A 3-session event gets one request per session, each using its session's date, time and layout</t>
        </is>
      </c>
      <c r="E34" s="4" t="inlineStr">
        <is>
          <t>Positive</t>
        </is>
      </c>
      <c r="F34" s="4" t="inlineStr">
        <is>
          <t>SPM-93, SPM-54, SPM-90</t>
        </is>
      </c>
      <c r="G34"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fixture's Day 3 session (19:00-22:00, Banquet) can no longer be booked at any seeded venue - every Banquet room's turnaround runs past its closing time. The rewrite expects that refusal; the fixture needs a Day 3 time that fits.</t>
        </is>
      </c>
      <c r="H34" s="4" t="inlineStr">
        <is>
          <t>Rewritten and run on a copy of the database, 16 Oct 2026</t>
        </is>
      </c>
      <c r="I34" s="4" t="inlineStr">
        <is>
          <t>Yes - replaced by SPM-42-TC09-R</t>
        </is>
      </c>
      <c r="J34" s="6" t="n"/>
    </row>
    <row r="35">
      <c r="A35" s="4" t="inlineStr">
        <is>
          <t>SPM-42-TC11</t>
        </is>
      </c>
      <c r="B35" s="4" t="inlineStr">
        <is>
          <t>SPM-42</t>
        </is>
      </c>
      <c r="C35" s="4" t="inlineStr">
        <is>
          <t>Sammi</t>
        </is>
      </c>
      <c r="D35" s="4" t="inlineStr">
        <is>
          <t>The request reaches Venue Staff and shows Pending</t>
        </is>
      </c>
      <c r="E35" s="4" t="inlineStr">
        <is>
          <t>Positive</t>
        </is>
      </c>
      <c r="F35" s="4" t="inlineStr">
        <is>
          <t>SPM-93, SPM-82, SPM-90</t>
        </is>
      </c>
      <c r="G35"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5" s="4" t="inlineStr">
        <is>
          <t>Rewritten and run on a copy of the database, 16 Oct 2026</t>
        </is>
      </c>
      <c r="I35" s="4" t="inlineStr">
        <is>
          <t>Yes - replaced by SPM-42-TC11-R</t>
        </is>
      </c>
      <c r="J35" s="6" t="n"/>
    </row>
    <row r="36">
      <c r="A36" s="4" t="inlineStr">
        <is>
          <t>SPM-42-TC14</t>
        </is>
      </c>
      <c r="B36" s="4" t="inlineStr">
        <is>
          <t>SPM-42</t>
        </is>
      </c>
      <c r="C36" s="4" t="inlineStr">
        <is>
          <t>Sammi</t>
        </is>
      </c>
      <c r="D36" s="4" t="inlineStr">
        <is>
          <t>A slot that is booked, on hold, or unavailable is refused (#35, #41)</t>
        </is>
      </c>
      <c r="E36" s="4" t="inlineStr">
        <is>
          <t>Negative</t>
        </is>
      </c>
      <c r="F36" s="4" t="inlineStr">
        <is>
          <t>SPM-93</t>
        </is>
      </c>
      <c r="G36"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6" s="4" t="inlineStr">
        <is>
          <t>Found by searching the case text; not run</t>
        </is>
      </c>
      <c r="I36" s="4" t="inlineStr">
        <is>
          <t>No</t>
        </is>
      </c>
      <c r="J36" s="6" t="n"/>
    </row>
    <row r="37">
      <c r="A37" s="4" t="inlineStr">
        <is>
          <t>SPM-42-TC15</t>
        </is>
      </c>
      <c r="B37" s="4" t="inlineStr">
        <is>
          <t>SPM-42</t>
        </is>
      </c>
      <c r="C37" s="4" t="inlineStr">
        <is>
          <t>Sammi</t>
        </is>
      </c>
      <c r="D37" s="4" t="inlineStr">
        <is>
          <t>A clash only through setup or turnaround slots is refused (#123, #35)</t>
        </is>
      </c>
      <c r="E37" s="4" t="inlineStr">
        <is>
          <t>Boundary</t>
        </is>
      </c>
      <c r="F37" s="4" t="inlineStr">
        <is>
          <t>SPM-93</t>
        </is>
      </c>
      <c r="G37"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7" s="4" t="inlineStr">
        <is>
          <t>Found by searching the case text; not run</t>
        </is>
      </c>
      <c r="I37" s="4" t="inlineStr">
        <is>
          <t>No</t>
        </is>
      </c>
      <c r="J37" s="6" t="n"/>
    </row>
    <row r="38">
      <c r="A38" s="4" t="inlineStr">
        <is>
          <t>SPM-42-TC16</t>
        </is>
      </c>
      <c r="B38" s="4" t="inlineStr">
        <is>
          <t>SPM-42</t>
        </is>
      </c>
      <c r="C38" s="4" t="inlineStr">
        <is>
          <t>Sammi</t>
        </is>
      </c>
      <c r="D38" s="4" t="inlineStr">
        <is>
          <t>Cancelled and rejected bookings do not block a request (#41)</t>
        </is>
      </c>
      <c r="E38" s="4" t="inlineStr">
        <is>
          <t>Boundary</t>
        </is>
      </c>
      <c r="F38" s="4" t="inlineStr">
        <is>
          <t>SPM-93</t>
        </is>
      </c>
      <c r="G38"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8" s="4" t="inlineStr">
        <is>
          <t>Found by searching the case text; not run</t>
        </is>
      </c>
      <c r="I38" s="4" t="inlineStr">
        <is>
          <t>No</t>
        </is>
      </c>
      <c r="J38" s="6" t="n"/>
    </row>
    <row r="39">
      <c r="A39" s="4" t="inlineStr">
        <is>
          <t>SPM-43-TC01</t>
        </is>
      </c>
      <c r="B39" s="4" t="inlineStr">
        <is>
          <t>SPM-43</t>
        </is>
      </c>
      <c r="C39" s="4" t="inlineStr">
        <is>
          <t>Kayalvizhi</t>
        </is>
      </c>
      <c r="D39" s="4" t="inlineStr">
        <is>
          <t>Venue Staff see the pending requests, each with its venue, date, slots and event details</t>
        </is>
      </c>
      <c r="E39" s="4" t="inlineStr">
        <is>
          <t>Positive</t>
        </is>
      </c>
      <c r="F39" s="4" t="inlineStr">
        <is>
          <t>SPM-93, SPM-82, SPM-90</t>
        </is>
      </c>
      <c r="G39"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9" s="4" t="inlineStr">
        <is>
          <t>Rewritten and run on a copy of the database, 16 Oct 2026</t>
        </is>
      </c>
      <c r="I39" s="4" t="inlineStr">
        <is>
          <t>Yes - replaced by SPM-43-TC01-R</t>
        </is>
      </c>
      <c r="J39" s="6" t="n"/>
    </row>
    <row r="40">
      <c r="A40" s="4" t="inlineStr">
        <is>
          <t>SPM-43-TC02</t>
        </is>
      </c>
      <c r="B40" s="4" t="inlineStr">
        <is>
          <t>SPM-43</t>
        </is>
      </c>
      <c r="C40" s="4" t="inlineStr">
        <is>
          <t>Kayalvizhi</t>
        </is>
      </c>
      <c r="D40" s="4" t="inlineStr">
        <is>
          <t>A request for one session shows that session's own time, attendance and layout, not the event's</t>
        </is>
      </c>
      <c r="E40" s="4" t="inlineStr">
        <is>
          <t>Positive</t>
        </is>
      </c>
      <c r="F40" s="4" t="inlineStr">
        <is>
          <t>SPM-93</t>
        </is>
      </c>
      <c r="G40"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0" s="4" t="inlineStr">
        <is>
          <t>Found by searching the case text; not run</t>
        </is>
      </c>
      <c r="I40" s="4" t="inlineStr">
        <is>
          <t>No</t>
        </is>
      </c>
      <c r="J40" s="6" t="n"/>
    </row>
    <row r="41">
      <c r="A41" s="4" t="inlineStr">
        <is>
          <t>SPM-43-TC03</t>
        </is>
      </c>
      <c r="B41" s="4" t="inlineStr">
        <is>
          <t>SPM-43</t>
        </is>
      </c>
      <c r="C41" s="4" t="inlineStr">
        <is>
          <t>Kayalvizhi</t>
        </is>
      </c>
      <c r="D41" s="4" t="inlineStr">
        <is>
          <t>Approving a request books the room: it leaves the list, the calendar shows it Booked, and the Coordinator sees it Approved</t>
        </is>
      </c>
      <c r="E41" s="4" t="inlineStr">
        <is>
          <t>Positive</t>
        </is>
      </c>
      <c r="F41" s="4" t="inlineStr">
        <is>
          <t>SPM-93</t>
        </is>
      </c>
      <c r="G41"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1" s="4" t="inlineStr">
        <is>
          <t>Rewritten and run on a copy of the database, 16 Oct 2026</t>
        </is>
      </c>
      <c r="I41" s="4" t="inlineStr">
        <is>
          <t>Yes - replaced by SPM-43-TC03-R</t>
        </is>
      </c>
      <c r="J41" s="6" t="n"/>
    </row>
    <row r="42">
      <c r="A42" s="4" t="inlineStr">
        <is>
          <t>SPM-43-TC04</t>
        </is>
      </c>
      <c r="B42" s="4" t="inlineStr">
        <is>
          <t>SPM-43</t>
        </is>
      </c>
      <c r="C42" s="4" t="inlineStr">
        <is>
          <t>Kayalvizhi</t>
        </is>
      </c>
      <c r="D42" s="4" t="inlineStr">
        <is>
          <t>Once one of two requests for the same room and slot is approved, the other is in conflict and cannot be approved</t>
        </is>
      </c>
      <c r="E42" s="4" t="inlineStr">
        <is>
          <t>Negative</t>
        </is>
      </c>
      <c r="F42" s="4" t="inlineStr">
        <is>
          <t>SPM-93</t>
        </is>
      </c>
      <c r="G42"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2" s="4" t="inlineStr">
        <is>
          <t>Found by searching the case text; not run</t>
        </is>
      </c>
      <c r="I42" s="4" t="inlineStr">
        <is>
          <t>No</t>
        </is>
      </c>
      <c r="J42" s="6" t="n"/>
    </row>
    <row r="43">
      <c r="A43" s="4" t="inlineStr">
        <is>
          <t>SPM-43-TC05</t>
        </is>
      </c>
      <c r="B43" s="4" t="inlineStr">
        <is>
          <t>SPM-43</t>
        </is>
      </c>
      <c r="C43" s="4" t="inlineStr">
        <is>
          <t>Kayalvizhi</t>
        </is>
      </c>
      <c r="D43" s="4" t="inlineStr">
        <is>
          <t>A request that clashes only through an approved booking's turnaround slot cannot be approved</t>
        </is>
      </c>
      <c r="E43" s="4" t="inlineStr">
        <is>
          <t>Boundary</t>
        </is>
      </c>
      <c r="F43" s="4" t="inlineStr">
        <is>
          <t>SPM-93</t>
        </is>
      </c>
      <c r="G43"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3" s="4" t="inlineStr">
        <is>
          <t>Found by searching the case text; not run</t>
        </is>
      </c>
      <c r="I43" s="4" t="inlineStr">
        <is>
          <t>No</t>
        </is>
      </c>
      <c r="J43" s="6" t="n"/>
    </row>
    <row r="44">
      <c r="A44" s="4" t="inlineStr">
        <is>
          <t>SPM-43-TC06</t>
        </is>
      </c>
      <c r="B44" s="4" t="inlineStr">
        <is>
          <t>SPM-43</t>
        </is>
      </c>
      <c r="C44" s="4" t="inlineStr">
        <is>
          <t>Kayalvizhi</t>
        </is>
      </c>
      <c r="D44" s="4" t="inlineStr">
        <is>
          <t>A request for an event that has since been cancelled cannot be approved</t>
        </is>
      </c>
      <c r="E44" s="4" t="inlineStr">
        <is>
          <t>Negative</t>
        </is>
      </c>
      <c r="F44" s="4" t="inlineStr">
        <is>
          <t>SPM-93</t>
        </is>
      </c>
      <c r="G44"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4" s="4" t="inlineStr">
        <is>
          <t>Found by searching the case text; not run</t>
        </is>
      </c>
      <c r="I44" s="4" t="inlineStr">
        <is>
          <t>No</t>
        </is>
      </c>
      <c r="J44" s="6" t="n"/>
    </row>
    <row r="45">
      <c r="A45" s="4" t="inlineStr">
        <is>
          <t>SPM-43-TC07</t>
        </is>
      </c>
      <c r="B45" s="4" t="inlineStr">
        <is>
          <t>SPM-43</t>
        </is>
      </c>
      <c r="C45" s="4" t="inlineStr">
        <is>
          <t>Kayalvizhi</t>
        </is>
      </c>
      <c r="D45" s="4" t="inlineStr">
        <is>
          <t>Rejecting without a reason, or with only spaces, is refused</t>
        </is>
      </c>
      <c r="E45" s="4" t="inlineStr">
        <is>
          <t>Boundary</t>
        </is>
      </c>
      <c r="F45" s="4" t="inlineStr">
        <is>
          <t>SPM-93</t>
        </is>
      </c>
      <c r="G45"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5" s="4" t="inlineStr">
        <is>
          <t>Found by searching the case text; not run</t>
        </is>
      </c>
      <c r="I45" s="4" t="inlineStr">
        <is>
          <t>No</t>
        </is>
      </c>
      <c r="J45" s="6" t="n"/>
    </row>
    <row r="46">
      <c r="A46" s="4" t="inlineStr">
        <is>
          <t>SPM-43-TC08</t>
        </is>
      </c>
      <c r="B46" s="4" t="inlineStr">
        <is>
          <t>SPM-43</t>
        </is>
      </c>
      <c r="C46" s="4" t="inlineStr">
        <is>
          <t>Kayalvizhi</t>
        </is>
      </c>
      <c r="D46" s="4" t="inlineStr">
        <is>
          <t>Rejecting with a reason takes the request off the list and shows the Coordinator the reason</t>
        </is>
      </c>
      <c r="E46" s="4" t="inlineStr">
        <is>
          <t>Positive</t>
        </is>
      </c>
      <c r="F46" s="4" t="inlineStr">
        <is>
          <t>SPM-93</t>
        </is>
      </c>
      <c r="G46"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6" s="4" t="inlineStr">
        <is>
          <t>Rewritten and run on a copy of the database, 16 Oct 2026</t>
        </is>
      </c>
      <c r="I46" s="4" t="inlineStr">
        <is>
          <t>Yes - replaced by SPM-43-TC08-R</t>
        </is>
      </c>
      <c r="J46" s="6" t="n"/>
    </row>
    <row r="47">
      <c r="A47" s="4" t="inlineStr">
        <is>
          <t>SPM-43-TC09</t>
        </is>
      </c>
      <c r="B47" s="4" t="inlineStr">
        <is>
          <t>SPM-43</t>
        </is>
      </c>
      <c r="C47" s="4" t="inlineStr">
        <is>
          <t>Kayalvizhi</t>
        </is>
      </c>
      <c r="D47" s="4" t="inlineStr">
        <is>
          <t>Venue Staff suggest another venue when rejecting; the Coordinator sees it and can start a new request for that venue</t>
        </is>
      </c>
      <c r="E47" s="4" t="inlineStr">
        <is>
          <t>Positive</t>
        </is>
      </c>
      <c r="F47" s="4" t="inlineStr">
        <is>
          <t>SPM-93</t>
        </is>
      </c>
      <c r="G47"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7" s="4" t="inlineStr">
        <is>
          <t>Rewritten and run on a copy of the database, 16 Oct 2026</t>
        </is>
      </c>
      <c r="I47" s="4" t="inlineStr">
        <is>
          <t>Yes - replaced by SPM-43-TC09-R</t>
        </is>
      </c>
      <c r="J47" s="6" t="n"/>
    </row>
    <row r="48">
      <c r="A48" s="4" t="inlineStr">
        <is>
          <t>SPM-43-TC10</t>
        </is>
      </c>
      <c r="B48" s="4" t="inlineStr">
        <is>
          <t>SPM-43</t>
        </is>
      </c>
      <c r="C48" s="4" t="inlineStr">
        <is>
          <t>Kayalvizhi</t>
        </is>
      </c>
      <c r="D48" s="4" t="inlineStr">
        <is>
          <t>Venue Staff suggest an alternative arrangement in words, without naming a venue</t>
        </is>
      </c>
      <c r="E48" s="4" t="inlineStr">
        <is>
          <t>Positive</t>
        </is>
      </c>
      <c r="F48" s="4" t="inlineStr">
        <is>
          <t>SPM-93</t>
        </is>
      </c>
      <c r="G48"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8" s="4" t="inlineStr">
        <is>
          <t>Found by searching the case text; not run</t>
        </is>
      </c>
      <c r="I48" s="4" t="inlineStr">
        <is>
          <t>No</t>
        </is>
      </c>
      <c r="J48" s="6" t="n"/>
    </row>
    <row r="49">
      <c r="A49" s="4" t="inlineStr">
        <is>
          <t>SPM-43-TC12</t>
        </is>
      </c>
      <c r="B49" s="4" t="inlineStr">
        <is>
          <t>SPM-43</t>
        </is>
      </c>
      <c r="C49" s="4" t="inlineStr">
        <is>
          <t>Kayalvizhi</t>
        </is>
      </c>
      <c r="D49" s="4" t="inlineStr">
        <is>
          <t>A request is decided once: approving one that was already rejected from another tab is refused</t>
        </is>
      </c>
      <c r="E49" s="4" t="inlineStr">
        <is>
          <t>Negative</t>
        </is>
      </c>
      <c r="F49" s="4" t="inlineStr">
        <is>
          <t>SPM-93</t>
        </is>
      </c>
      <c r="G49"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9" s="4" t="inlineStr">
        <is>
          <t>Found by searching the case text; not run</t>
        </is>
      </c>
      <c r="I49" s="4" t="inlineStr">
        <is>
          <t>No</t>
        </is>
      </c>
      <c r="J49" s="6" t="n"/>
    </row>
    <row r="50">
      <c r="A50" s="4" t="inlineStr">
        <is>
          <t>SPM-43-TC13</t>
        </is>
      </c>
      <c r="B50" s="4" t="inlineStr">
        <is>
          <t>SPM-43</t>
        </is>
      </c>
      <c r="C50" s="4" t="inlineStr">
        <is>
          <t>Kayalvizhi</t>
        </is>
      </c>
      <c r="D50" s="4" t="inlineStr">
        <is>
          <t>A request for a time when the venue is unavailable (maintenance) cannot be approved</t>
        </is>
      </c>
      <c r="E50" s="4" t="inlineStr">
        <is>
          <t>Negative</t>
        </is>
      </c>
      <c r="F50" s="4" t="inlineStr">
        <is>
          <t>SPM-93</t>
        </is>
      </c>
      <c r="G50"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0" s="4" t="inlineStr">
        <is>
          <t>Found by searching the case text; not run</t>
        </is>
      </c>
      <c r="I50" s="4" t="inlineStr">
        <is>
          <t>No</t>
        </is>
      </c>
      <c r="J50" s="6" t="n"/>
    </row>
    <row r="51">
      <c r="A51" s="4" t="inlineStr">
        <is>
          <t>SPM-43-TC14</t>
        </is>
      </c>
      <c r="B51" s="4" t="inlineStr">
        <is>
          <t>SPM-43</t>
        </is>
      </c>
      <c r="C51" s="4" t="inlineStr">
        <is>
          <t>Kayalvizhi</t>
        </is>
      </c>
      <c r="D51" s="4" t="inlineStr">
        <is>
          <t>A request for a venue that has been retired cannot be approved</t>
        </is>
      </c>
      <c r="E51" s="4" t="inlineStr">
        <is>
          <t>Negative</t>
        </is>
      </c>
      <c r="F51" s="4" t="inlineStr">
        <is>
          <t>SPM-93</t>
        </is>
      </c>
      <c r="G51"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1" s="4" t="inlineStr">
        <is>
          <t>Found by searching the case text; not run</t>
        </is>
      </c>
      <c r="I51" s="4" t="inlineStr">
        <is>
          <t>No</t>
        </is>
      </c>
      <c r="J51" s="6" t="n"/>
    </row>
    <row r="52">
      <c r="A52" s="4" t="inlineStr">
        <is>
          <t>SPM-43-TC15</t>
        </is>
      </c>
      <c r="B52" s="4" t="inlineStr">
        <is>
          <t>SPM-43</t>
        </is>
      </c>
      <c r="C52" s="4" t="inlineStr">
        <is>
          <t>Kayalvizhi</t>
        </is>
      </c>
      <c r="D52" s="4" t="inlineStr">
        <is>
          <t>A request for an event that has not been approved yet is not shown to Venue Staff</t>
        </is>
      </c>
      <c r="E52" s="4" t="inlineStr">
        <is>
          <t>Negative</t>
        </is>
      </c>
      <c r="F52" s="4" t="inlineStr">
        <is>
          <t>SPM-93</t>
        </is>
      </c>
      <c r="G52"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2" s="4" t="inlineStr">
        <is>
          <t>Found by searching the case text; not run</t>
        </is>
      </c>
      <c r="I52" s="4" t="inlineStr">
        <is>
          <t>No</t>
        </is>
      </c>
      <c r="J52" s="6" t="n"/>
    </row>
    <row r="53">
      <c r="A53" s="4" t="inlineStr">
        <is>
          <t>SPM-43-TC16</t>
        </is>
      </c>
      <c r="B53" s="4" t="inlineStr">
        <is>
          <t>SPM-43</t>
        </is>
      </c>
      <c r="C53" s="4" t="inlineStr">
        <is>
          <t>Kayalvizhi</t>
        </is>
      </c>
      <c r="D53" s="4" t="inlineStr">
        <is>
          <t>A request in the first slot clear of an approved booking's turnaround is not in conflict and can be approved</t>
        </is>
      </c>
      <c r="E53" s="4" t="inlineStr">
        <is>
          <t>Boundary</t>
        </is>
      </c>
      <c r="F53" s="4" t="inlineStr">
        <is>
          <t>SPM-93</t>
        </is>
      </c>
      <c r="G53"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3" s="4" t="inlineStr">
        <is>
          <t>Found by searching the case text; not run</t>
        </is>
      </c>
      <c r="I53" s="4" t="inlineStr">
        <is>
          <t>No</t>
        </is>
      </c>
      <c r="J53" s="6" t="n"/>
    </row>
    <row r="54">
      <c r="A54" s="4" t="inlineStr">
        <is>
          <t>SPM-44-TC01</t>
        </is>
      </c>
      <c r="B54" s="4" t="inlineStr">
        <is>
          <t>SPM-44</t>
        </is>
      </c>
      <c r="C54" s="4" t="inlineStr">
        <is>
          <t>Jordan</t>
        </is>
      </c>
      <c r="D54" s="4" t="inlineStr">
        <is>
          <t>A slot already held by an approved booking is refused, and the booking is named</t>
        </is>
      </c>
      <c r="E54" s="4" t="inlineStr">
        <is>
          <t>Negative</t>
        </is>
      </c>
      <c r="F54" s="4" t="inlineStr">
        <is>
          <t>SPM-93</t>
        </is>
      </c>
      <c r="G54"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4" s="4" t="inlineStr">
        <is>
          <t>Found by searching the case text; not run</t>
        </is>
      </c>
      <c r="I54" s="4" t="inlineStr">
        <is>
          <t>No</t>
        </is>
      </c>
      <c r="J54" s="6" t="n"/>
    </row>
    <row r="55">
      <c r="A55" s="4" t="inlineStr">
        <is>
          <t>SPM-44-TC02</t>
        </is>
      </c>
      <c r="B55" s="4" t="inlineStr">
        <is>
          <t>SPM-44</t>
        </is>
      </c>
      <c r="C55" s="4" t="inlineStr">
        <is>
          <t>Jordan</t>
        </is>
      </c>
      <c r="D55" s="4" t="inlineStr">
        <is>
          <t>A different slot on the same day at the same venue is allowed</t>
        </is>
      </c>
      <c r="E55" s="4" t="inlineStr">
        <is>
          <t>Positive</t>
        </is>
      </c>
      <c r="F55" s="4" t="inlineStr">
        <is>
          <t>SPM-93</t>
        </is>
      </c>
      <c r="G55"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5" s="4" t="inlineStr">
        <is>
          <t>Rewritten and run on a copy of the database, 16 Oct 2026</t>
        </is>
      </c>
      <c r="I55" s="4" t="inlineStr">
        <is>
          <t>Yes - replaced by SPM-44-TC02-R</t>
        </is>
      </c>
      <c r="J55" s="6" t="n"/>
    </row>
    <row r="56">
      <c r="A56" s="4" t="inlineStr">
        <is>
          <t>SPM-44-TC03</t>
        </is>
      </c>
      <c r="B56" s="4" t="inlineStr">
        <is>
          <t>SPM-44</t>
        </is>
      </c>
      <c r="C56" s="4" t="inlineStr">
        <is>
          <t>Jordan</t>
        </is>
      </c>
      <c r="D56" s="4" t="inlineStr">
        <is>
          <t>The same event cannot request the same venue and slot twice</t>
        </is>
      </c>
      <c r="E56" s="4" t="inlineStr">
        <is>
          <t>Negative</t>
        </is>
      </c>
      <c r="F56" s="4" t="inlineStr">
        <is>
          <t>SPM-93</t>
        </is>
      </c>
      <c r="G56"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6" s="4" t="inlineStr">
        <is>
          <t>Found by searching the case text; not run</t>
        </is>
      </c>
      <c r="I56" s="4" t="inlineStr">
        <is>
          <t>No</t>
        </is>
      </c>
      <c r="J56" s="6" t="n"/>
    </row>
    <row r="57">
      <c r="A57" s="4" t="inlineStr">
        <is>
          <t>SPM-44-TC04</t>
        </is>
      </c>
      <c r="B57" s="4" t="inlineStr">
        <is>
          <t>SPM-44</t>
        </is>
      </c>
      <c r="C57" s="4" t="inlineStr">
        <is>
          <t>Jordan</t>
        </is>
      </c>
      <c r="D57" s="4" t="inlineStr">
        <is>
          <t>A slot already held by another event's pending request is refused</t>
        </is>
      </c>
      <c r="E57" s="4" t="inlineStr">
        <is>
          <t>Negative</t>
        </is>
      </c>
      <c r="F57" s="4" t="inlineStr">
        <is>
          <t>SPM-93</t>
        </is>
      </c>
      <c r="G57"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7" s="4" t="inlineStr">
        <is>
          <t>Found by searching the case text; not run</t>
        </is>
      </c>
      <c r="I57" s="4" t="inlineStr">
        <is>
          <t>No</t>
        </is>
      </c>
      <c r="J57" s="6" t="n"/>
    </row>
    <row r="58">
      <c r="A58" s="4" t="inlineStr">
        <is>
          <t>SPM-44-TC05</t>
        </is>
      </c>
      <c r="B58" s="4" t="inlineStr">
        <is>
          <t>SPM-44</t>
        </is>
      </c>
      <c r="C58" s="4" t="inlineStr">
        <is>
          <t>Jordan</t>
        </is>
      </c>
      <c r="D58" s="4" t="inlineStr">
        <is>
          <t>A rejected booking does not hold the slot</t>
        </is>
      </c>
      <c r="E58" s="4" t="inlineStr">
        <is>
          <t>Positive</t>
        </is>
      </c>
      <c r="F58" s="4" t="inlineStr">
        <is>
          <t>SPM-93</t>
        </is>
      </c>
      <c r="G58"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8" s="4" t="inlineStr">
        <is>
          <t>Rewritten and run on a copy of the database, 16 Oct 2026</t>
        </is>
      </c>
      <c r="I58" s="4" t="inlineStr">
        <is>
          <t>Yes - replaced by SPM-44-TC05-R</t>
        </is>
      </c>
      <c r="J58" s="6" t="n"/>
    </row>
    <row r="59">
      <c r="A59" s="4" t="inlineStr">
        <is>
          <t>SPM-44-TC06</t>
        </is>
      </c>
      <c r="B59" s="4" t="inlineStr">
        <is>
          <t>SPM-44</t>
        </is>
      </c>
      <c r="C59" s="4" t="inlineStr">
        <is>
          <t>Jordan</t>
        </is>
      </c>
      <c r="D59" s="4" t="inlineStr">
        <is>
          <t>A cancelled (withdrawn or released) booking does not hold the slot</t>
        </is>
      </c>
      <c r="E59" s="4" t="inlineStr">
        <is>
          <t>Positive</t>
        </is>
      </c>
      <c r="F59" s="4" t="inlineStr">
        <is>
          <t>SPM-93</t>
        </is>
      </c>
      <c r="G59"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9" s="4" t="inlineStr">
        <is>
          <t>Found by searching the case text; not run</t>
        </is>
      </c>
      <c r="I59" s="4" t="inlineStr">
        <is>
          <t>No</t>
        </is>
      </c>
      <c r="J59" s="6" t="n"/>
    </row>
    <row r="60">
      <c r="A60" s="4" t="inlineStr">
        <is>
          <t>SPM-44-TC07</t>
        </is>
      </c>
      <c r="B60" s="4" t="inlineStr">
        <is>
          <t>SPM-44</t>
        </is>
      </c>
      <c r="C60" s="4" t="inlineStr">
        <is>
          <t>Jordan</t>
        </is>
      </c>
      <c r="D60" s="4" t="inlineStr">
        <is>
          <t>A different slot IS refused when the other booking's setup occupies it</t>
        </is>
      </c>
      <c r="E60" s="4" t="inlineStr">
        <is>
          <t>Boundary</t>
        </is>
      </c>
      <c r="F60" s="4" t="inlineStr">
        <is>
          <t>SPM-93</t>
        </is>
      </c>
      <c r="G60"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0" s="4" t="inlineStr">
        <is>
          <t>Found by searching the case text; not run</t>
        </is>
      </c>
      <c r="I60" s="4" t="inlineStr">
        <is>
          <t>No</t>
        </is>
      </c>
      <c r="J60" s="6" t="n"/>
    </row>
    <row r="61">
      <c r="A61" s="4" t="inlineStr">
        <is>
          <t>SPM-44-TC08</t>
        </is>
      </c>
      <c r="B61" s="4" t="inlineStr">
        <is>
          <t>SPM-44</t>
        </is>
      </c>
      <c r="C61" s="4" t="inlineStr">
        <is>
          <t>Jordan</t>
        </is>
      </c>
      <c r="D61" s="4" t="inlineStr">
        <is>
          <t>A recorded unavailable period blocks a request, and its reason and dates are shown</t>
        </is>
      </c>
      <c r="E61" s="4" t="inlineStr">
        <is>
          <t>Negative</t>
        </is>
      </c>
      <c r="F61" s="4" t="inlineStr">
        <is>
          <t>SPM-93</t>
        </is>
      </c>
      <c r="G61"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1" s="4" t="inlineStr">
        <is>
          <t>Found by searching the case text; not run</t>
        </is>
      </c>
      <c r="I61" s="4" t="inlineStr">
        <is>
          <t>No</t>
        </is>
      </c>
      <c r="J61" s="6" t="n"/>
    </row>
    <row r="62">
      <c r="A62" s="4" t="inlineStr">
        <is>
          <t>SPM-44-TC09</t>
        </is>
      </c>
      <c r="B62" s="4" t="inlineStr">
        <is>
          <t>SPM-44</t>
        </is>
      </c>
      <c r="C62" s="4" t="inlineStr">
        <is>
          <t>Jordan</t>
        </is>
      </c>
      <c r="D62" s="4" t="inlineStr">
        <is>
          <t>The venue search screen hides a venue whose slot is taken</t>
        </is>
      </c>
      <c r="E62" s="4" t="inlineStr">
        <is>
          <t>Positive</t>
        </is>
      </c>
      <c r="F62" s="4" t="inlineStr">
        <is>
          <t>SPM-93</t>
        </is>
      </c>
      <c r="G62"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2" s="4" t="inlineStr">
        <is>
          <t>Found by searching the case text; not run</t>
        </is>
      </c>
      <c r="I62" s="4" t="inlineStr">
        <is>
          <t>No</t>
        </is>
      </c>
      <c r="J62" s="6" t="n"/>
    </row>
    <row r="63">
      <c r="A63" s="4" t="inlineStr">
        <is>
          <t>SPM-44-TC10</t>
        </is>
      </c>
      <c r="B63" s="4" t="inlineStr">
        <is>
          <t>SPM-44</t>
        </is>
      </c>
      <c r="C63" s="4" t="inlineStr">
        <is>
          <t>Jordan</t>
        </is>
      </c>
      <c r="D63" s="4" t="inlineStr">
        <is>
          <t>A pending request cannot be approved over an existing confirmed booking</t>
        </is>
      </c>
      <c r="E63" s="4" t="inlineStr">
        <is>
          <t>Negative</t>
        </is>
      </c>
      <c r="F63" s="4" t="inlineStr">
        <is>
          <t>SPM-93</t>
        </is>
      </c>
      <c r="G63"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3" s="4" t="inlineStr">
        <is>
          <t>Found by searching the case text; not run</t>
        </is>
      </c>
      <c r="I63" s="4" t="inlineStr">
        <is>
          <t>No</t>
        </is>
      </c>
      <c r="J63" s="6" t="n"/>
    </row>
    <row r="64">
      <c r="A64" s="4" t="inlineStr">
        <is>
          <t>SPM-44-TC11</t>
        </is>
      </c>
      <c r="B64" s="4" t="inlineStr">
        <is>
          <t>SPM-44</t>
        </is>
      </c>
      <c r="C64" s="4" t="inlineStr">
        <is>
          <t>Jordan</t>
        </is>
      </c>
      <c r="D64" s="4" t="inlineStr">
        <is>
          <t>A Night booking's turnaround blocks the NEXT morning's AM slot</t>
        </is>
      </c>
      <c r="E64" s="4" t="inlineStr">
        <is>
          <t>Boundary</t>
        </is>
      </c>
      <c r="F64" s="4" t="inlineStr">
        <is>
          <t>SPM-93</t>
        </is>
      </c>
      <c r="G64"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4" s="4" t="inlineStr">
        <is>
          <t>Found by searching the case text; not run</t>
        </is>
      </c>
      <c r="I64" s="4" t="inlineStr">
        <is>
          <t>No</t>
        </is>
      </c>
      <c r="J64" s="6" t="n"/>
    </row>
    <row r="65">
      <c r="A65" s="4" t="inlineStr">
        <is>
          <t>SPM-46-TC01</t>
        </is>
      </c>
      <c r="B65" s="4" t="inlineStr">
        <is>
          <t>SPM-46</t>
        </is>
      </c>
      <c r="C65" s="4" t="inlineStr">
        <is>
          <t>Kayalvizhi</t>
        </is>
      </c>
      <c r="D65" s="4" t="inlineStr">
        <is>
          <t>Open a venue's availability and read the grid</t>
        </is>
      </c>
      <c r="E65" s="4" t="inlineStr">
        <is>
          <t>Positive</t>
        </is>
      </c>
      <c r="F65" s="4" t="inlineStr">
        <is>
          <t>SPM-93</t>
        </is>
      </c>
      <c r="G65"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5" s="4" t="inlineStr">
        <is>
          <t>Rewritten and run on a copy of the database, 16 Oct 2026</t>
        </is>
      </c>
      <c r="I65" s="4" t="inlineStr">
        <is>
          <t>Yes - replaced by SPM-46-TC01-R</t>
        </is>
      </c>
      <c r="J65" s="6" t="n"/>
    </row>
    <row r="66">
      <c r="A66" s="4" t="inlineStr">
        <is>
          <t>SPM-46-TC05</t>
        </is>
      </c>
      <c r="B66" s="4" t="inlineStr">
        <is>
          <t>SPM-46</t>
        </is>
      </c>
      <c r="C66" s="4" t="inlineStr">
        <is>
          <t>Kayalvizhi</t>
        </is>
      </c>
      <c r="D66" s="4" t="inlineStr">
        <is>
          <t>A Night event's setup takes the whole PM slot, and its turnaround the next day's AM</t>
        </is>
      </c>
      <c r="E66" s="4" t="inlineStr">
        <is>
          <t>Positive</t>
        </is>
      </c>
      <c r="F66" s="4" t="inlineStr">
        <is>
          <t>SPM-93</t>
        </is>
      </c>
      <c r="G66"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6" s="4" t="inlineStr">
        <is>
          <t>Found by searching the case text; not run</t>
        </is>
      </c>
      <c r="I66" s="4" t="inlineStr">
        <is>
          <t>No</t>
        </is>
      </c>
      <c r="J66" s="6" t="n"/>
    </row>
    <row r="67">
      <c r="A67" s="4" t="inlineStr">
        <is>
          <t>SPM-46-TC06</t>
        </is>
      </c>
      <c r="B67" s="4" t="inlineStr">
        <is>
          <t>SPM-46</t>
        </is>
      </c>
      <c r="C67" s="4" t="inlineStr">
        <is>
          <t>Kayalvizhi</t>
        </is>
      </c>
      <c r="D67" s="4" t="inlineStr">
        <is>
          <t>An event's setup takes the whole slot before it, on the previous day where needed</t>
        </is>
      </c>
      <c r="E67" s="4" t="inlineStr">
        <is>
          <t>Positive</t>
        </is>
      </c>
      <c r="F67" s="4" t="inlineStr">
        <is>
          <t>SPM-93</t>
        </is>
      </c>
      <c r="G67"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7" s="4" t="inlineStr">
        <is>
          <t>Found by searching the case text; not run</t>
        </is>
      </c>
      <c r="I67" s="4" t="inlineStr">
        <is>
          <t>No</t>
        </is>
      </c>
      <c r="J67" s="6" t="n"/>
    </row>
    <row r="68">
      <c r="A68" s="4" t="inlineStr">
        <is>
          <t>SPM-46-TC07</t>
        </is>
      </c>
      <c r="B68" s="4" t="inlineStr">
        <is>
          <t>SPM-46</t>
        </is>
      </c>
      <c r="C68" s="4" t="inlineStr">
        <is>
          <t>Kayalvizhi</t>
        </is>
      </c>
      <c r="D68" s="4" t="inlineStr">
        <is>
          <t>A venue's opening hours mark slots Closed, or name the hours it is open</t>
        </is>
      </c>
      <c r="E68" s="4" t="inlineStr">
        <is>
          <t>Boundary</t>
        </is>
      </c>
      <c r="F68" s="4" t="inlineStr">
        <is>
          <t>SPM-93</t>
        </is>
      </c>
      <c r="G68"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8" s="4" t="inlineStr">
        <is>
          <t>Found by searching the case text; not run</t>
        </is>
      </c>
      <c r="I68" s="4" t="inlineStr">
        <is>
          <t>No</t>
        </is>
      </c>
      <c r="J68" s="6" t="n"/>
    </row>
    <row r="69">
      <c r="A69" s="4" t="inlineStr">
        <is>
          <t>SPM-46-TC08</t>
        </is>
      </c>
      <c r="B69" s="4" t="inlineStr">
        <is>
          <t>SPM-46</t>
        </is>
      </c>
      <c r="C69" s="4" t="inlineStr">
        <is>
          <t>Kayalvizhi</t>
        </is>
      </c>
      <c r="D69" s="4" t="inlineStr">
        <is>
          <t>An unavailable period covers every slot from its first day to its last, and no further</t>
        </is>
      </c>
      <c r="E69" s="4" t="inlineStr">
        <is>
          <t>Boundary</t>
        </is>
      </c>
      <c r="F69" s="4" t="inlineStr">
        <is>
          <t>SPM-93</t>
        </is>
      </c>
      <c r="G69"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9" s="4" t="inlineStr">
        <is>
          <t>Found by searching the case text; not run</t>
        </is>
      </c>
      <c r="I69" s="4" t="inlineStr">
        <is>
          <t>No</t>
        </is>
      </c>
      <c r="J69" s="6" t="n"/>
    </row>
    <row r="70">
      <c r="A70" s="4" t="inlineStr">
        <is>
          <t>SPM-46-TC09</t>
        </is>
      </c>
      <c r="B70" s="4" t="inlineStr">
        <is>
          <t>SPM-46</t>
        </is>
      </c>
      <c r="C70" s="4" t="inlineStr">
        <is>
          <t>Kayalvizhi</t>
        </is>
      </c>
      <c r="D70" s="4" t="inlineStr">
        <is>
          <t>Two overlapping unavailable periods are identified as overlapping</t>
        </is>
      </c>
      <c r="E70" s="4" t="inlineStr">
        <is>
          <t>Positive</t>
        </is>
      </c>
      <c r="F70" s="4" t="inlineStr">
        <is>
          <t>SPM-93</t>
        </is>
      </c>
      <c r="G70"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0" s="4" t="inlineStr">
        <is>
          <t>Rewritten and run on a copy of the database, 16 Oct 2026</t>
        </is>
      </c>
      <c r="I70" s="4" t="inlineStr">
        <is>
          <t>Yes - replaced by SPM-46-TC09-R</t>
        </is>
      </c>
      <c r="J70" s="6" t="n"/>
    </row>
    <row r="71">
      <c r="A71" s="4" t="inlineStr">
        <is>
          <t>SPM-46-TC12</t>
        </is>
      </c>
      <c r="B71" s="4" t="inlineStr">
        <is>
          <t>SPM-46</t>
        </is>
      </c>
      <c r="C71" s="4" t="inlineStr">
        <is>
          <t>Kayalvizhi</t>
        </is>
      </c>
      <c r="D71" s="4" t="inlineStr">
        <is>
          <t>An approved booking blocks its slots, and is listed, even while its event is still in planning</t>
        </is>
      </c>
      <c r="E71" s="4" t="inlineStr">
        <is>
          <t>Positive</t>
        </is>
      </c>
      <c r="F71" s="4" t="inlineStr">
        <is>
          <t>SPM-93</t>
        </is>
      </c>
      <c r="G71"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1" s="4" t="inlineStr">
        <is>
          <t>Rewritten and run on a copy of the database, 16 Oct 2026</t>
        </is>
      </c>
      <c r="I71" s="4" t="inlineStr">
        <is>
          <t>Yes - replaced by SPM-46-TC12-R</t>
        </is>
      </c>
      <c r="J71" s="6" t="n"/>
    </row>
    <row r="72">
      <c r="A72" s="4" t="inlineStr">
        <is>
          <t>SPM-46-TC13</t>
        </is>
      </c>
      <c r="B72" s="4" t="inlineStr">
        <is>
          <t>SPM-46</t>
        </is>
      </c>
      <c r="C72" s="4" t="inlineStr">
        <is>
          <t>Kayalvizhi</t>
        </is>
      </c>
      <c r="D72" s="4" t="inlineStr">
        <is>
          <t>Only an approved booking takes a slot; a pending request is shown but does not</t>
        </is>
      </c>
      <c r="E72" s="4" t="inlineStr">
        <is>
          <t>Negative</t>
        </is>
      </c>
      <c r="F72" s="4" t="inlineStr">
        <is>
          <t>SPM-93</t>
        </is>
      </c>
      <c r="G72"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2" s="4" t="inlineStr">
        <is>
          <t>Found by searching the case text; not run</t>
        </is>
      </c>
      <c r="I72" s="4" t="inlineStr">
        <is>
          <t>No</t>
        </is>
      </c>
      <c r="J72" s="6" t="n"/>
    </row>
    <row r="73">
      <c r="A73" s="4" t="inlineStr">
        <is>
          <t>SPM-46-TC14</t>
        </is>
      </c>
      <c r="B73" s="4" t="inlineStr">
        <is>
          <t>SPM-46</t>
        </is>
      </c>
      <c r="C73" s="4" t="inlineStr">
        <is>
          <t>Kayalvizhi</t>
        </is>
      </c>
      <c r="D73" s="4" t="inlineStr">
        <is>
          <t>A retired venue's slots are never offered as free</t>
        </is>
      </c>
      <c r="E73" s="4" t="inlineStr">
        <is>
          <t>Negative</t>
        </is>
      </c>
      <c r="F73" s="4" t="inlineStr">
        <is>
          <t>SPM-93</t>
        </is>
      </c>
      <c r="G73"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3" s="4" t="inlineStr">
        <is>
          <t>Found by searching the case text; not run</t>
        </is>
      </c>
      <c r="I73" s="4" t="inlineStr">
        <is>
          <t>No</t>
        </is>
      </c>
      <c r="J73" s="6" t="n"/>
    </row>
    <row r="74">
      <c r="A74" s="4" t="inlineStr">
        <is>
          <t>SPM-54-TC04</t>
        </is>
      </c>
      <c r="B74" s="4" t="inlineStr">
        <is>
          <t>SPM-54</t>
        </is>
      </c>
      <c r="C74" s="4" t="inlineStr">
        <is>
          <t>Kristen</t>
        </is>
      </c>
      <c r="D74" s="4" t="inlineStr">
        <is>
          <t>Requesting a venue booking for an Approved event moves it to Planning</t>
        </is>
      </c>
      <c r="E74" s="4" t="inlineStr">
        <is>
          <t>Positive</t>
        </is>
      </c>
      <c r="F74" s="4" t="inlineStr">
        <is>
          <t>SPM-93, SPM-90, SPM-82</t>
        </is>
      </c>
      <c r="G74"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4" s="4" t="inlineStr">
        <is>
          <t>Rewritten and run on a copy of the database, 16 Oct 2026</t>
        </is>
      </c>
      <c r="I74" s="4" t="inlineStr">
        <is>
          <t>Yes - replaced by SPM-54-TC04-R</t>
        </is>
      </c>
      <c r="J74" s="6" t="n"/>
    </row>
    <row r="75">
      <c r="A75" s="4" t="inlineStr">
        <is>
          <t>SPM-54-TC14</t>
        </is>
      </c>
      <c r="B75" s="4" t="inlineStr">
        <is>
          <t>SPM-54</t>
        </is>
      </c>
      <c r="C75" s="4" t="inlineStr">
        <is>
          <t>Kristen</t>
        </is>
      </c>
      <c r="D75" s="4" t="inlineStr">
        <is>
          <t>Once in Planning, the coordinator can request a venue booking and record equipment, and sees each with its status</t>
        </is>
      </c>
      <c r="E75" s="4" t="inlineStr">
        <is>
          <t>Positive</t>
        </is>
      </c>
      <c r="F75" s="4" t="inlineStr">
        <is>
          <t>SPM-93</t>
        </is>
      </c>
      <c r="G75" s="4"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5" s="4" t="inlineStr">
        <is>
          <t>Found by searching the case text; not run</t>
        </is>
      </c>
      <c r="I75" s="4" t="inlineStr">
        <is>
          <t>No</t>
        </is>
      </c>
      <c r="J75" s="6" t="n"/>
    </row>
    <row r="76">
      <c r="A76" s="4" t="inlineStr">
        <is>
          <t>SPM-64-TC16</t>
        </is>
      </c>
      <c r="B76" s="4" t="inlineStr">
        <is>
          <t>SPM-64</t>
        </is>
      </c>
      <c r="C76" s="4" t="inlineStr">
        <is>
          <t>Sammi</t>
        </is>
      </c>
      <c r="D76" s="4" t="inlineStr">
        <is>
          <t>Incomplete registration setup is outstanding and blocks confirmation until every setting is in place</t>
        </is>
      </c>
      <c r="E76" s="4" t="inlineStr">
        <is>
          <t>Negative</t>
        </is>
      </c>
      <c r="F76" s="4" t="inlineStr">
        <is>
          <t>SPM-86, SPM-87, SPM-88</t>
        </is>
      </c>
      <c r="G76" s="4" t="inlineStr">
        <is>
          <t>Confirm event now waits for an approved Operational Safety Check. The Readiness tab counts it as a blocker, every refusal ends with '...the Operational Safety Check has not been submitted yet', and the note 'Confirm event does not wait for it yet.' is gone.</t>
        </is>
      </c>
      <c r="H76" s="4" t="inlineStr">
        <is>
          <t>Found by searching the case text; not run</t>
        </is>
      </c>
      <c r="I76" s="4" t="inlineStr">
        <is>
          <t>No</t>
        </is>
      </c>
      <c r="J76" s="6" t="n"/>
    </row>
    <row r="77">
      <c r="A77" s="4" t="inlineStr">
        <is>
          <t>SPM-64-TC17</t>
        </is>
      </c>
      <c r="B77" s="4" t="inlineStr">
        <is>
          <t>SPM-64</t>
        </is>
      </c>
      <c r="C77" s="4" t="inlineStr">
        <is>
          <t>Sammi</t>
        </is>
      </c>
      <c r="D77" s="4" t="inlineStr">
        <is>
          <t>Registration that is turned off is not an outstanding arrangement</t>
        </is>
      </c>
      <c r="E77" s="4" t="inlineStr">
        <is>
          <t>Positive</t>
        </is>
      </c>
      <c r="F77" s="4" t="inlineStr">
        <is>
          <t>SPM-86, SPM-87, SPM-88</t>
        </is>
      </c>
      <c r="G77" s="4" t="inlineStr">
        <is>
          <t>Confirm event now waits for an approved Operational Safety Check. The Readiness tab counts it as a blocker, every refusal ends with '...the Operational Safety Check has not been submitted yet', and the note 'Confirm event does not wait for it yet.' is gone.</t>
        </is>
      </c>
      <c r="H77" s="4" t="inlineStr">
        <is>
          <t>Rewritten and run on a copy of the database, 16 Oct 2026</t>
        </is>
      </c>
      <c r="I77" s="4" t="inlineStr">
        <is>
          <t>Yes - replaced by SPM-64-TC17-R</t>
        </is>
      </c>
      <c r="J77" s="6" t="n"/>
    </row>
    <row r="78">
      <c r="A78" s="4" t="inlineStr">
        <is>
          <t>SPM-64-TC18</t>
        </is>
      </c>
      <c r="B78" s="4" t="inlineStr">
        <is>
          <t>SPM-64</t>
        </is>
      </c>
      <c r="C78" s="4" t="inlineStr">
        <is>
          <t>Sammi</t>
        </is>
      </c>
      <c r="D78" s="4" t="inlineStr">
        <is>
          <t>A capacity measured against a booking that is no longer active is outstanding until another booking is chosen</t>
        </is>
      </c>
      <c r="E78" s="4" t="inlineStr">
        <is>
          <t>Negative</t>
        </is>
      </c>
      <c r="F78" s="4" t="inlineStr">
        <is>
          <t>SPM-86, SPM-87, SPM-88</t>
        </is>
      </c>
      <c r="G78" s="4" t="inlineStr">
        <is>
          <t>Confirm event now waits for an approved Operational Safety Check. The Readiness tab counts it as a blocker, every refusal ends with '...the Operational Safety Check has not been submitted yet', and the note 'Confirm event does not wait for it yet.' is gone.</t>
        </is>
      </c>
      <c r="H78" s="4" t="inlineStr">
        <is>
          <t>Found by searching the case text; not run</t>
        </is>
      </c>
      <c r="I78" s="4" t="inlineStr">
        <is>
          <t>No</t>
        </is>
      </c>
      <c r="J78" s="6" t="n"/>
    </row>
    <row r="79">
      <c r="A79" s="4" t="inlineStr">
        <is>
          <t>SPM-67-TC05</t>
        </is>
      </c>
      <c r="B79" s="4" t="inlineStr">
        <is>
          <t>SPM-67</t>
        </is>
      </c>
      <c r="C79" s="4" t="inlineStr">
        <is>
          <t>Kayalvizhi</t>
        </is>
      </c>
      <c r="D79" s="4" t="inlineStr">
        <is>
          <t>After the event's only booking is released, its venue is shown as outstanding and the Coordinator can request a different venue</t>
        </is>
      </c>
      <c r="E79" s="4" t="inlineStr">
        <is>
          <t>Positive</t>
        </is>
      </c>
      <c r="F79" s="4" t="inlineStr">
        <is>
          <t>SPM-88</t>
        </is>
      </c>
      <c r="G79" s="4" t="inlineStr">
        <is>
          <t>Confirm event now waits for an approved Operational Safety Check. The Readiness tab counts it as a blocker, every refusal ends with '...the Operational Safety Check has not been submitted yet', and the note 'Confirm event does not wait for it yet.' is gone.</t>
        </is>
      </c>
      <c r="H79" s="4" t="inlineStr">
        <is>
          <t>Rewritten and run on a copy of the database, 16 Oct 2026</t>
        </is>
      </c>
      <c r="I79" s="4" t="inlineStr">
        <is>
          <t>Yes - replaced by SPM-67-TC05-R</t>
        </is>
      </c>
      <c r="J79" s="6" t="n"/>
    </row>
    <row r="80">
      <c r="A80" s="4" t="inlineStr">
        <is>
          <t>SPM-67-TC06</t>
        </is>
      </c>
      <c r="B80" s="4" t="inlineStr">
        <is>
          <t>SPM-67</t>
        </is>
      </c>
      <c r="C80" s="4" t="inlineStr">
        <is>
          <t>Kayalvizhi</t>
        </is>
      </c>
      <c r="D80" s="4" t="inlineStr">
        <is>
          <t>A request withdrawn without a reason shows no reason line, leaves the venue outstanding, and the same venue can be requested again</t>
        </is>
      </c>
      <c r="E80" s="4" t="inlineStr">
        <is>
          <t>Boundary</t>
        </is>
      </c>
      <c r="F80" s="4" t="inlineStr">
        <is>
          <t>SPM-86, SPM-87, SPM-88</t>
        </is>
      </c>
      <c r="G80" s="4" t="inlineStr">
        <is>
          <t>Confirm event now waits for an approved Operational Safety Check. The Readiness tab counts it as a blocker, every refusal ends with '...the Operational Safety Check has not been submitted yet', and the note 'Confirm event does not wait for it yet.' is gone.</t>
        </is>
      </c>
      <c r="H80" s="4" t="inlineStr">
        <is>
          <t>Found by searching the case text; not run</t>
        </is>
      </c>
      <c r="I80" s="4" t="inlineStr">
        <is>
          <t>No</t>
        </is>
      </c>
      <c r="J80" s="6" t="n"/>
    </row>
    <row r="81">
      <c r="A81" s="4" t="inlineStr">
        <is>
          <t>SPM-68-TC05</t>
        </is>
      </c>
      <c r="B81" s="4" t="inlineStr">
        <is>
          <t>SPM-68</t>
        </is>
      </c>
      <c r="C81" s="4" t="inlineStr">
        <is>
          <t>Kristen</t>
        </is>
      </c>
      <c r="D81" s="4" t="inlineStr">
        <is>
          <t>A flagged venue booking blocks confirmation until it is kept; keeping it from the event's Readiness tab clears the flag, takes it off the Flagged Arrangements page and leaves the booking unchanged</t>
        </is>
      </c>
      <c r="E81" s="4" t="inlineStr">
        <is>
          <t>Positive</t>
        </is>
      </c>
      <c r="F81" s="4" t="inlineStr">
        <is>
          <t>SPM-88</t>
        </is>
      </c>
      <c r="G81" s="4" t="inlineStr">
        <is>
          <t>Confirm event now waits for an approved Operational Safety Check. The Readiness tab counts it as a blocker, every refusal ends with '...the Operational Safety Check has not been submitted yet', and the note 'Confirm event does not wait for it yet.' is gone.</t>
        </is>
      </c>
      <c r="H81" s="4" t="inlineStr">
        <is>
          <t>Rewritten and run on a copy of the database, 16 Oct 2026</t>
        </is>
      </c>
      <c r="I81" s="4" t="inlineStr">
        <is>
          <t>Yes - replaced by SPM-68-TC05-R</t>
        </is>
      </c>
      <c r="J81" s="6" t="n"/>
    </row>
    <row r="82">
      <c r="A82" s="4" t="inlineStr">
        <is>
          <t>SPM-68-TC12</t>
        </is>
      </c>
      <c r="B82" s="4" t="inlineStr">
        <is>
          <t>SPM-68</t>
        </is>
      </c>
      <c r="C82" s="4" t="inlineStr">
        <is>
          <t>Kristen</t>
        </is>
      </c>
      <c r="D82" s="4" t="inlineStr">
        <is>
          <t>An event whose only flag is on its registrations can still be confirmed</t>
        </is>
      </c>
      <c r="E82" s="4" t="inlineStr">
        <is>
          <t>Positive</t>
        </is>
      </c>
      <c r="F82" s="4" t="inlineStr">
        <is>
          <t>SPM-86, SPM-87, SPM-88</t>
        </is>
      </c>
      <c r="G82" s="4" t="inlineStr">
        <is>
          <t>Confirm event now waits for an approved Operational Safety Check. The Readiness tab counts it as a blocker, every refusal ends with '...the Operational Safety Check has not been submitted yet', and the note 'Confirm event does not wait for it yet.' is gone.</t>
        </is>
      </c>
      <c r="H82" s="4" t="inlineStr">
        <is>
          <t>Rewritten and run on a copy of the database, 16 Oct 2026</t>
        </is>
      </c>
      <c r="I82" s="4" t="inlineStr">
        <is>
          <t>Yes - replaced by SPM-68-TC12-R</t>
        </is>
      </c>
      <c r="J82" s="6" t="n"/>
    </row>
    <row r="83">
      <c r="A83" s="4" t="inlineStr">
        <is>
          <t>SPM-68-TC14</t>
        </is>
      </c>
      <c r="B83" s="4" t="inlineStr">
        <is>
          <t>SPM-68</t>
        </is>
      </c>
      <c r="C83" s="4" t="inlineStr">
        <is>
          <t>Kristen</t>
        </is>
      </c>
      <c r="D83" s="4" t="inlineStr">
        <is>
          <t>The flagged booking is released from the event's Venue tab, reached from the Flagged Arrangements page; it then leaves the page, stays on the event record as Released, and the replacement request and the event are unchanged</t>
        </is>
      </c>
      <c r="E83" s="4" t="inlineStr">
        <is>
          <t>Positive</t>
        </is>
      </c>
      <c r="F83" s="4" t="inlineStr">
        <is>
          <t>SPM-88</t>
        </is>
      </c>
      <c r="G83" s="4" t="inlineStr">
        <is>
          <t>Confirm event now waits for an approved Operational Safety Check. The Readiness tab counts it as a blocker, every refusal ends with '...the Operational Safety Check has not been submitted yet', and the note 'Confirm event does not wait for it yet.' is gone.</t>
        </is>
      </c>
      <c r="H83" s="4" t="inlineStr">
        <is>
          <t>Rewritten and run on a copy of the database, 16 Oct 2026</t>
        </is>
      </c>
      <c r="I83" s="4" t="inlineStr">
        <is>
          <t>Yes - replaced by SPM-68-TC14-R</t>
        </is>
      </c>
      <c r="J83" s="6" t="n"/>
    </row>
    <row r="84">
      <c r="A84" s="4" t="inlineStr">
        <is>
          <t>SPM-82-TC08</t>
        </is>
      </c>
      <c r="B84" s="4" t="inlineStr">
        <is>
          <t>SPM-82</t>
        </is>
      </c>
      <c r="C84" s="4" t="inlineStr">
        <is>
          <t>Jordan</t>
        </is>
      </c>
      <c r="D84" s="4" t="inlineStr">
        <is>
          <t>After a hold expires the event's venue arrangement is outstanding, and the event cannot be confirmed on it</t>
        </is>
      </c>
      <c r="E84" s="4" t="inlineStr">
        <is>
          <t>Negative</t>
        </is>
      </c>
      <c r="F84" s="4" t="inlineStr">
        <is>
          <t>SPM-86, SPM-87, SPM-88</t>
        </is>
      </c>
      <c r="G84" s="4" t="inlineStr">
        <is>
          <t>Confirm event now waits for an approved Operational Safety Check. The Readiness tab counts it as a blocker, every refusal ends with '...the Operational Safety Check has not been submitted yet', and the note 'Confirm event does not wait for it yet.' is gone.</t>
        </is>
      </c>
      <c r="H84" s="4" t="inlineStr">
        <is>
          <t>Found by searching the case text; not run</t>
        </is>
      </c>
      <c r="I84" s="4" t="inlineStr">
        <is>
          <t>No</t>
        </is>
      </c>
      <c r="J84" s="6" t="n"/>
    </row>
    <row r="85">
      <c r="A85" s="4" t="inlineStr">
        <is>
          <t>SPM-90-TC08</t>
        </is>
      </c>
      <c r="B85" s="4" t="inlineStr">
        <is>
          <t>SPM-90</t>
        </is>
      </c>
      <c r="C85" s="4" t="inlineStr">
        <is>
          <t>Kayalvizhi</t>
        </is>
      </c>
      <c r="D85" s="4" t="inlineStr">
        <is>
          <t>An event with one approved and one pending venue booking cannot be confirmed, and the refusal names the room that is not yet approved and what it is for</t>
        </is>
      </c>
      <c r="E85" s="4" t="inlineStr">
        <is>
          <t>Negative</t>
        </is>
      </c>
      <c r="F85" s="4" t="inlineStr">
        <is>
          <t>SPM-86, SPM-87, SPM-88</t>
        </is>
      </c>
      <c r="G85" s="4" t="inlineStr">
        <is>
          <t>Confirm event now waits for an approved Operational Safety Check. The Readiness tab counts it as a blocker, every refusal ends with '...the Operational Safety Check has not been submitted yet', and the note 'Confirm event does not wait for it yet.' is gone.</t>
        </is>
      </c>
      <c r="H85" s="4" t="inlineStr">
        <is>
          <t>Found by searching the case text; not run</t>
        </is>
      </c>
      <c r="I85" s="4" t="inlineStr">
        <is>
          <t>No</t>
        </is>
      </c>
      <c r="J85" s="6" t="n"/>
    </row>
    <row r="86">
      <c r="A86" s="4" t="inlineStr">
        <is>
          <t>SPM-90-TC09</t>
        </is>
      </c>
      <c r="B86" s="4" t="inlineStr">
        <is>
          <t>SPM-90</t>
        </is>
      </c>
      <c r="C86" s="4" t="inlineStr">
        <is>
          <t>Kayalvizhi</t>
        </is>
      </c>
      <c r="D86" s="4" t="inlineStr">
        <is>
          <t>Once Venue Staff approve the last pending room, an event with two venue bookings can be confirmed</t>
        </is>
      </c>
      <c r="E86" s="4" t="inlineStr">
        <is>
          <t>Positive</t>
        </is>
      </c>
      <c r="F86" s="4" t="inlineStr">
        <is>
          <t>SPM-86, SPM-87, SPM-88</t>
        </is>
      </c>
      <c r="G86" s="4" t="inlineStr">
        <is>
          <t>Confirm event now waits for an approved Operational Safety Check. The Readiness tab counts it as a blocker, every refusal ends with '...the Operational Safety Check has not been submitted yet', and the note 'Confirm event does not wait for it yet.' is gone.</t>
        </is>
      </c>
      <c r="H86" s="4" t="inlineStr">
        <is>
          <t>Rewritten and run on a copy of the database, 16 Oct 2026</t>
        </is>
      </c>
      <c r="I86" s="4" t="inlineStr">
        <is>
          <t>Yes - replaced by SPM-90-TC09-R</t>
        </is>
      </c>
      <c r="J86" s="6" t="n"/>
    </row>
    <row r="87">
      <c r="A87" s="4" t="inlineStr">
        <is>
          <t>SPM-90-TC10</t>
        </is>
      </c>
      <c r="B87" s="4" t="inlineStr">
        <is>
          <t>SPM-90</t>
        </is>
      </c>
      <c r="C87" s="4" t="inlineStr">
        <is>
          <t>Kayalvizhi</t>
        </is>
      </c>
      <c r="D87" s="4" t="inlineStr">
        <is>
          <t>An event with a single approved venue booking made before this change is listed without a purpose and is confirmed as before</t>
        </is>
      </c>
      <c r="E87" s="4" t="inlineStr">
        <is>
          <t>Positive</t>
        </is>
      </c>
      <c r="F87" s="4" t="inlineStr">
        <is>
          <t>SPM-86, SPM-87, SPM-88</t>
        </is>
      </c>
      <c r="G87" s="4" t="inlineStr">
        <is>
          <t>Confirm event now waits for an approved Operational Safety Check. The Readiness tab counts it as a blocker, every refusal ends with '...the Operational Safety Check has not been submitted yet', and the note 'Confirm event does not wait for it yet.' is gone.</t>
        </is>
      </c>
      <c r="H87" s="4" t="inlineStr">
        <is>
          <t>Rewritten and run on a copy of the database, 16 Oct 2026</t>
        </is>
      </c>
      <c r="I87" s="4" t="inlineStr">
        <is>
          <t>Yes - replaced by SPM-90-TC10-R</t>
        </is>
      </c>
      <c r="J87" s="6" t="n"/>
    </row>
  </sheetData>
  <autoFilter ref="A4:J87"/>
  <dataValidations count="1">
    <dataValidation sqref="J5:J8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4.4"/>
  <cols>
    <col width="40" customWidth="1" style="18" min="1" max="1"/>
    <col width="46" customWidth="1" style="18" min="2" max="2"/>
    <col width="12" customWidth="1" style="18" min="3" max="3"/>
    <col width="14" customWidth="1" style="18" min="4" max="4"/>
    <col width="13" customWidth="1" style="18" min="5" max="5"/>
    <col width="50" customWidth="1" style="18" min="6" max="6"/>
  </cols>
  <sheetData>
    <row r="1" ht="17.4" customHeight="1" s="18">
      <c r="A1" s="1" t="inlineStr">
        <is>
          <t>Sprint 3 regression: automated checks</t>
        </is>
      </c>
    </row>
    <row r="2">
      <c r="A2" s="2" t="inlineStr">
        <is>
          <t>Run on an up-to-date main, after SPM-52 and SPM-65 have merged. All must pass before manual testing starts.</t>
        </is>
      </c>
    </row>
    <row r="4" ht="30" customHeight="1" s="18">
      <c r="A4" s="14" t="inlineStr">
        <is>
          <t>Check</t>
        </is>
      </c>
      <c r="B4" s="14" t="inlineStr">
        <is>
          <t>Needs</t>
        </is>
      </c>
      <c r="C4" s="14" t="inlineStr">
        <is>
          <t>Result</t>
        </is>
      </c>
      <c r="D4" s="14" t="inlineStr">
        <is>
          <t>Run by</t>
        </is>
      </c>
      <c r="E4" s="14" t="inlineStr">
        <is>
          <t>Date run</t>
        </is>
      </c>
      <c r="F4" s="14" t="inlineStr">
        <is>
          <t>Notes</t>
        </is>
      </c>
    </row>
    <row r="5">
      <c r="A5" s="4" t="inlineStr">
        <is>
          <t>npm test</t>
        </is>
      </c>
      <c r="B5" s="4" t="inlineStr">
        <is>
          <t>Nothing</t>
        </is>
      </c>
      <c r="C5" s="6" t="n"/>
      <c r="D5" s="6" t="n"/>
      <c r="E5" s="5" t="n"/>
      <c r="F5" s="6" t="n"/>
    </row>
    <row r="6">
      <c r="A6" s="4" t="inlineStr">
        <is>
          <t>npm run lint</t>
        </is>
      </c>
      <c r="B6" s="4" t="inlineStr">
        <is>
          <t>Nothing</t>
        </is>
      </c>
      <c r="C6" s="6" t="n"/>
      <c r="D6" s="6" t="n"/>
      <c r="E6" s="5" t="n"/>
      <c r="F6" s="6" t="n"/>
    </row>
    <row r="7">
      <c r="A7" s="4" t="inlineStr">
        <is>
          <t>npm run build</t>
        </is>
      </c>
      <c r="B7" s="4" t="inlineStr">
        <is>
          <t>Nothing</t>
        </is>
      </c>
      <c r="C7" s="6" t="n"/>
      <c r="D7" s="6" t="n"/>
      <c r="E7" s="5" t="n"/>
      <c r="F7" s="6" t="n"/>
    </row>
    <row r="8">
      <c r="A8" s="4" t="inlineStr">
        <is>
          <t>npm run test-cases:check</t>
        </is>
      </c>
      <c r="B8" s="4" t="inlineStr">
        <is>
          <t>Nothing</t>
        </is>
      </c>
      <c r="C8" s="6" t="n"/>
      <c r="D8" s="6" t="n"/>
      <c r="E8" s="5" t="n"/>
      <c r="F8" s="6" t="n"/>
    </row>
    <row r="9">
      <c r="A9" s="4" t="inlineStr">
        <is>
          <t>npm run verify:permissions</t>
        </is>
      </c>
      <c r="B9" s="4" t="inlineStr">
        <is>
          <t>npm run dev in a second terminal</t>
        </is>
      </c>
      <c r="C9" s="6" t="n"/>
      <c r="D9" s="6" t="n"/>
      <c r="E9" s="5" t="n"/>
      <c r="F9" s="6" t="n"/>
    </row>
    <row r="10">
      <c r="A10" s="4" t="inlineStr">
        <is>
          <t>npm run verify:login</t>
        </is>
      </c>
      <c r="B10" s="4" t="inlineStr">
        <is>
          <t>npm run dev in a second terminal</t>
        </is>
      </c>
      <c r="C10" s="6" t="n"/>
      <c r="D10" s="6" t="n"/>
      <c r="E10" s="6" t="n"/>
      <c r="F10" s="6" t="n"/>
    </row>
    <row r="11">
      <c r="A11" s="4" t="inlineStr">
        <is>
          <t>CI on main is green for the commit tested</t>
        </is>
      </c>
      <c r="B11" s="4" t="inlineStr">
        <is>
          <t>GitHub Actions tab. Covers type-check, migrations, fixtures and the end-to-end smoke tests, which only run against a local database.</t>
        </is>
      </c>
      <c r="C11" s="6" t="n"/>
      <c r="D11" s="6" t="n"/>
      <c r="E11" s="6" t="n"/>
      <c r="F11" s="6" t="n"/>
    </row>
  </sheetData>
  <conditionalFormatting sqref="C5:C11">
    <cfRule type="cellIs" priority="1" operator="equal" dxfId="8">
      <formula>"Pass"</formula>
    </cfRule>
    <cfRule type="cellIs" priority="2" operator="equal" dxfId="9">
      <formula>"Fail"</formula>
    </cfRule>
  </conditionalFormatting>
  <dataValidations count="1">
    <dataValidation sqref="C5:C11" showDropDown="0" showInputMessage="0" showErrorMessage="0" allowBlank="1" type="list">
      <formula1>"Pass,Fail"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7"/>
  <sheetViews>
    <sheetView showGridLines="0" workbookViewId="0">
      <pane ySplit="4" topLeftCell="A5" activePane="bottomLeft" state="frozen"/>
      <selection pane="bottomLeft" activeCell="A1" sqref="A1"/>
    </sheetView>
  </sheetViews>
  <sheetFormatPr baseColWidth="8" defaultRowHeight="14.4"/>
  <cols>
    <col width="9" customWidth="1" style="18" min="1" max="1"/>
    <col width="32" customWidth="1" style="18" min="2" max="2"/>
    <col width="8" customWidth="1" style="18" min="3" max="3"/>
    <col width="34" customWidth="1" style="18" min="4" max="4"/>
    <col width="16" customWidth="1" style="18" min="5" max="5"/>
    <col width="90" customWidth="1" style="18" min="6" max="6"/>
    <col width="10" customWidth="1" style="18" min="7" max="7"/>
    <col width="13" customWidth="1" style="18" min="8" max="8"/>
  </cols>
  <sheetData>
    <row r="1" ht="17.4" customHeight="1" s="18">
      <c r="A1" s="1" t="inlineStr">
        <is>
          <t>Sprint 3 regression: scope</t>
        </is>
      </c>
    </row>
    <row r="2">
      <c r="A2" s="2" t="inlineStr">
        <is>
          <t>Prepared 2026-10-16 against main at 0862663, plus the SPM-52 and SPM-65 branches (in review, merging 2026-10-16). Recheck after the last merge of the sprint.</t>
        </is>
      </c>
    </row>
    <row r="4" ht="30" customHeight="1" s="18">
      <c r="A4" s="14" t="inlineStr">
        <is>
          <t>Story</t>
        </is>
      </c>
      <c r="B4" s="14" t="inlineStr">
        <is>
          <t>Title</t>
        </is>
      </c>
      <c r="C4" s="14" t="inlineStr">
        <is>
          <t>Sprint</t>
        </is>
      </c>
      <c r="D4" s="14" t="inlineStr">
        <is>
          <t>Changes counted since</t>
        </is>
      </c>
      <c r="E4" s="14" t="inlineStr">
        <is>
          <t>In scope?</t>
        </is>
      </c>
      <c r="F4" s="14" t="inlineStr">
        <is>
          <t>Reason</t>
        </is>
      </c>
      <c r="G4" s="14" t="inlineStr">
        <is>
          <t>Cases selected</t>
        </is>
      </c>
      <c r="H4" s="14" t="inlineStr">
        <is>
          <t>Tester</t>
        </is>
      </c>
    </row>
    <row r="5" ht="26.4" customHeight="1" s="18">
      <c r="A5" s="4" t="inlineStr">
        <is>
          <t>SPM-21</t>
        </is>
      </c>
      <c r="B5" s="4" t="inlineStr">
        <is>
          <t>User Login</t>
        </is>
      </c>
      <c r="C5" s="4" t="n">
        <v>1</v>
      </c>
      <c r="D5" s="4" t="inlineStr">
        <is>
          <t>Start of Sprint 3 (a5730c5)</t>
        </is>
      </c>
      <c r="E5" s="4" t="inlineStr">
        <is>
          <t>Yes</t>
        </is>
      </c>
      <c r="F5" s="4" t="inlineStr">
        <is>
          <t>Changed on main: src/app/dashboard/page.tsx
Shared files changed: src/lib/permissions.ts, src/lib/roles.ts</t>
        </is>
      </c>
      <c r="G5" s="4">
        <f>COUNTIF('Retested cases'!$B$5:$B$168,A5)</f>
        <v/>
      </c>
      <c r="H5" s="4" t="inlineStr">
        <is>
          <t>Kayalvizhi</t>
        </is>
      </c>
    </row>
    <row r="6" ht="39.6" customHeight="1" s="18">
      <c r="A6" s="4" t="inlineStr">
        <is>
          <t>SPM-22</t>
        </is>
      </c>
      <c r="B6" s="4" t="inlineStr">
        <is>
          <t>Role-Based Access - UI Verification</t>
        </is>
      </c>
      <c r="C6" s="4" t="n">
        <v>2</v>
      </c>
      <c r="D6" s="4" t="inlineStr">
        <is>
          <t>Start of Sprint 3 (a5730c5)</t>
        </is>
      </c>
      <c r="E6" s="4" t="inlineStr">
        <is>
          <t>Yes</t>
        </is>
      </c>
      <c r="F6" s="4" t="inlineStr">
        <is>
          <t>Changed on main: src/app/events/[id]/page.tsx, src/app/notifications/page.tsx, src/app/venues/page.tsx, src/components/AppShell.tsx
Shared files changed: src/lib/eventTabs.ts, src/lib/permissions.ts, src/lib/roles.ts</t>
        </is>
      </c>
      <c r="G6" s="4">
        <f>COUNTIF('Retested cases'!$B$5:$B$168,A6)</f>
        <v/>
      </c>
      <c r="H6" s="4" t="inlineStr">
        <is>
          <t>Kayalvizhi</t>
        </is>
      </c>
    </row>
    <row r="7" ht="39.6" customHeight="1" s="18">
      <c r="A7" s="4" t="inlineStr">
        <is>
          <t>SPM-23</t>
        </is>
      </c>
      <c r="B7" s="4" t="inlineStr">
        <is>
          <t>Create Event Request</t>
        </is>
      </c>
      <c r="C7" s="4" t="n">
        <v>1</v>
      </c>
      <c r="D7" s="4" t="inlineStr">
        <is>
          <t>Start of Sprint 3 (a5730c5)</t>
        </is>
      </c>
      <c r="E7" s="4" t="inlineStr">
        <is>
          <t>Yes</t>
        </is>
      </c>
      <c r="F7" s="4" t="inlineStr">
        <is>
          <t>Changed on main: src/app/api/events/[id]/route.ts, src/app/api/events/route.ts, src/app/events/page.tsx, src/lib/validation/events.ts
Shared files changed: prisma/schema.prisma, prisma/seed.ts</t>
        </is>
      </c>
      <c r="G7" s="4">
        <f>COUNTIF('Retested cases'!$B$5:$B$168,A7)</f>
        <v/>
      </c>
      <c r="H7" s="4" t="inlineStr">
        <is>
          <t>Kayalvizhi</t>
        </is>
      </c>
    </row>
    <row r="8" ht="39.6" customHeight="1" s="18">
      <c r="A8" s="4" t="inlineStr">
        <is>
          <t>SPM-24</t>
        </is>
      </c>
      <c r="B8" s="4" t="inlineStr">
        <is>
          <t>Save Draft Event Request</t>
        </is>
      </c>
      <c r="C8" s="4" t="n">
        <v>1</v>
      </c>
      <c r="D8" s="4" t="inlineStr">
        <is>
          <t>Start of Sprint 3 (a5730c5)</t>
        </is>
      </c>
      <c r="E8" s="4" t="inlineStr">
        <is>
          <t>Yes</t>
        </is>
      </c>
      <c r="F8" s="4" t="inlineStr">
        <is>
          <t>Changed on main: src/app/api/events/[id]/route.ts, src/app/api/events/route.ts, src/app/events/page.tsx
Shared files changed: prisma/seed.ts, src/lib/statuses.ts</t>
        </is>
      </c>
      <c r="G8" s="4">
        <f>COUNTIF('Retested cases'!$B$5:$B$168,A8)</f>
        <v/>
      </c>
      <c r="H8" s="4" t="inlineStr">
        <is>
          <t>Kayalvizhi</t>
        </is>
      </c>
    </row>
    <row r="9" ht="39.6" customHeight="1" s="18">
      <c r="A9" s="4" t="inlineStr">
        <is>
          <t>SPM-25</t>
        </is>
      </c>
      <c r="B9" s="4" t="inlineStr">
        <is>
          <t>Submit Event Request</t>
        </is>
      </c>
      <c r="C9" s="4" t="n">
        <v>1</v>
      </c>
      <c r="D9" s="4" t="inlineStr">
        <is>
          <t>Start of Sprint 3 (a5730c5)</t>
        </is>
      </c>
      <c r="E9" s="4" t="inlineStr">
        <is>
          <t>Yes</t>
        </is>
      </c>
      <c r="F9" s="4" t="inlineStr">
        <is>
          <t>Changed on main: src/app/api/events/[id]/route.ts, src/app/events/page.tsx, src/lib/validation/events.ts
Shared files changed: src/lib/permissions.ts, src/lib/roles.ts, src/lib/statuses.ts</t>
        </is>
      </c>
      <c r="G9" s="4">
        <f>COUNTIF('Retested cases'!$B$5:$B$168,A9)</f>
        <v/>
      </c>
      <c r="H9" s="4" t="inlineStr">
        <is>
          <t>Kayalvizhi</t>
        </is>
      </c>
    </row>
    <row r="10" ht="26.4" customHeight="1" s="18">
      <c r="A10" s="4" t="inlineStr">
        <is>
          <t>SPM-27</t>
        </is>
      </c>
      <c r="B10" s="4" t="inlineStr">
        <is>
          <t>View Event Status</t>
        </is>
      </c>
      <c r="C10" s="4" t="n">
        <v>2</v>
      </c>
      <c r="D10" s="4" t="inlineStr">
        <is>
          <t>Start of Sprint 3 (a5730c5)</t>
        </is>
      </c>
      <c r="E10" s="4" t="inlineStr">
        <is>
          <t>Yes</t>
        </is>
      </c>
      <c r="F10" s="4" t="inlineStr">
        <is>
          <t>Changed on main: src/app/api/events/[id]/route.ts, src/app/events/[id]/equipment/page.tsx, src/app/events/[id]/page.tsx, src/app/events/page.tsx, src/app/venues/search/page.tsx, src/lib/validation/events.ts
Shared files changed: prisma/seed.ts, src/lib/permissions.ts, src/lib/statuses.ts</t>
        </is>
      </c>
      <c r="G10" s="4">
        <f>COUNTIF('Retested cases'!$B$5:$B$168,A10)</f>
        <v/>
      </c>
      <c r="H10" s="4" t="inlineStr">
        <is>
          <t>Kayalvizhi</t>
        </is>
      </c>
    </row>
    <row r="11" ht="39.6" customHeight="1" s="18">
      <c r="A11" s="4" t="inlineStr">
        <is>
          <t>SPM-28</t>
        </is>
      </c>
      <c r="B11" s="4" t="inlineStr">
        <is>
          <t>Review Event Request</t>
        </is>
      </c>
      <c r="C11" s="4" t="n">
        <v>2</v>
      </c>
      <c r="D11" s="4" t="inlineStr">
        <is>
          <t>Start of Sprint 3 (a5730c5)</t>
        </is>
      </c>
      <c r="E11" s="4" t="inlineStr">
        <is>
          <t>Yes</t>
        </is>
      </c>
      <c r="F11" s="4" t="inlineStr">
        <is>
          <t>Changed on main: src/app/api/events/[id]/route.ts, src/app/events/[id]/page.tsx
Shared files changed: prisma/schema.prisma, prisma/seed.ts, src/lib/permissions.ts, src/lib/statuses.ts</t>
        </is>
      </c>
      <c r="G11" s="4">
        <f>COUNTIF('Retested cases'!$B$5:$B$168,A11)</f>
        <v/>
      </c>
      <c r="H11" s="4" t="inlineStr">
        <is>
          <t>Jordan</t>
        </is>
      </c>
    </row>
    <row r="12" ht="66" customHeight="1" s="18">
      <c r="A12" s="4" t="inlineStr">
        <is>
          <t>SPM-30</t>
        </is>
      </c>
      <c r="B12" s="4" t="inlineStr">
        <is>
          <t>Assign Event Coordinator</t>
        </is>
      </c>
      <c r="C12" s="4" t="n">
        <v>2</v>
      </c>
      <c r="D12" s="4" t="inlineStr">
        <is>
          <t>Start of Sprint 3 (a5730c5)</t>
        </is>
      </c>
      <c r="E12" s="4" t="inlineStr">
        <is>
          <t>Yes</t>
        </is>
      </c>
      <c r="F12" s="4" t="inlineStr">
        <is>
          <t>Changed on main: src/app/api/events/[id]/route.ts, src/app/dashboard/page.tsx, src/app/events/[id]/page.tsx, src/app/events/page.tsx
Shared files changed: prisma/schema.prisma, prisma/seed.ts, src/lib/permissions.ts, src/lib/roles.ts</t>
        </is>
      </c>
      <c r="G12" s="4">
        <f>COUNTIF('Retested cases'!$B$5:$B$168,A12)</f>
        <v/>
      </c>
      <c r="H12" s="4" t="inlineStr">
        <is>
          <t>Jordan</t>
        </is>
      </c>
    </row>
    <row r="13" ht="26.4" customHeight="1" s="18">
      <c r="A13" s="4" t="inlineStr">
        <is>
          <t>SPM-31</t>
        </is>
      </c>
      <c r="B13" s="4" t="inlineStr">
        <is>
          <t>View Event Information</t>
        </is>
      </c>
      <c r="C13" s="4" t="n">
        <v>2</v>
      </c>
      <c r="D13" s="4" t="inlineStr">
        <is>
          <t>Start of Sprint 3 (a5730c5)</t>
        </is>
      </c>
      <c r="E13" s="4" t="inlineStr">
        <is>
          <t>Yes</t>
        </is>
      </c>
      <c r="F13" s="4" t="inlineStr">
        <is>
          <t>Changed on main: src/app/api/events/[id]/equipment/[requestId]/route.ts, src/app/api/events/[id]/equipment/route.ts, src/app/api/events/[id]/route.ts, src/app/dashboard/page.tsx, src/app/events/[id]/page.tsx
Shared files changed: prisma/schema.prisma, prisma/seed.ts, src/lib/eventTabs.ts, src/lib/format.ts, src/lib/permissions.ts, src/lib/roles.ts, src/lib/statuses.ts</t>
        </is>
      </c>
      <c r="G13" s="4">
        <f>COUNTIF('Retested cases'!$B$5:$B$168,A13)</f>
        <v/>
      </c>
      <c r="H13" s="4" t="inlineStr">
        <is>
          <t>Kayalvizhi</t>
        </is>
      </c>
    </row>
    <row r="14" ht="52.8" customHeight="1" s="18">
      <c r="A14" s="4" t="inlineStr">
        <is>
          <t>SPM-33</t>
        </is>
      </c>
      <c r="B14" s="4" t="inlineStr">
        <is>
          <t>Track Outstanding Arrangements</t>
        </is>
      </c>
      <c r="C14" s="4" t="n">
        <v>3</v>
      </c>
      <c r="D14" s="4" t="inlineStr">
        <is>
          <t>Story merged 2026-10-12 (15e80e3)</t>
        </is>
      </c>
      <c r="E14" s="4" t="inlineStr">
        <is>
          <t>Yes</t>
        </is>
      </c>
      <c r="F14" s="4" t="inlineStr">
        <is>
          <t>Changed by later Sprint 3 merges: src/app/api/events/[id]/arrangements/route.ts, src/app/api/events/[id]/route.ts, src/app/api/events/[id]/safety-check/route.ts, src/app/events/[id]/readiness/page.tsx, src/lib/eventArrangements.ts, src/lib/eventConfirmation.ts, src/lib/safetyCheck.ts, src/lib/validation/events.ts
Shared files changed: prisma/schema.prisma, prisma/seed.ts, src/lib/permissions.ts, src/lib/statuses.ts, src/lib/eventTabs.ts</t>
        </is>
      </c>
      <c r="G14" s="4">
        <f>COUNTIF('Retested cases'!$B$5:$B$168,A14)</f>
        <v/>
      </c>
      <c r="H14" s="4" t="inlineStr">
        <is>
          <t>Jordan</t>
        </is>
      </c>
    </row>
    <row r="15" ht="26.4" customHeight="1" s="18">
      <c r="A15" s="4" t="inlineStr">
        <is>
          <t>SPM-34</t>
        </is>
      </c>
      <c r="B15" s="4" t="inlineStr">
        <is>
          <t>Confirm Event</t>
        </is>
      </c>
      <c r="C15" s="4" t="n">
        <v>2</v>
      </c>
      <c r="D15" s="4" t="inlineStr">
        <is>
          <t>Start of Sprint 3 (a5730c5)</t>
        </is>
      </c>
      <c r="E15" s="4" t="inlineStr">
        <is>
          <t>Yes</t>
        </is>
      </c>
      <c r="F15" s="4" t="inlineStr">
        <is>
          <t>Changed on main: src/app/api/events/[id]/route.ts, src/app/events/[id]/page.tsx, src/lib/eventConfirmation.ts
Shared files changed: prisma/seed.ts, src/lib/permissions.ts, src/lib/statuses.ts</t>
        </is>
      </c>
      <c r="G15" s="4">
        <f>COUNTIF('Retested cases'!$B$5:$B$168,A15)</f>
        <v/>
      </c>
      <c r="H15" s="4" t="inlineStr">
        <is>
          <t>Jordan</t>
        </is>
      </c>
    </row>
    <row r="16" ht="26.4" customHeight="1" s="18">
      <c r="A16" s="4" t="inlineStr">
        <is>
          <t>SPM-39</t>
        </is>
      </c>
      <c r="B16" s="4" t="inlineStr">
        <is>
          <t>Manage Venue Catalogue</t>
        </is>
      </c>
      <c r="C16" s="4" t="n">
        <v>1</v>
      </c>
      <c r="D16" s="4" t="inlineStr">
        <is>
          <t>Start of Sprint 3 (a5730c5)</t>
        </is>
      </c>
      <c r="E16" s="4" t="inlineStr">
        <is>
          <t>Yes</t>
        </is>
      </c>
      <c r="F16" s="4" t="inlineStr">
        <is>
          <t>Changed on main: src/app/api/venues/[id]/route.ts, src/app/venues/[id]/edit/page.tsx, src/app/venues/page.tsx, src/components/VenueForm.tsx, src/lib/validation/venues.ts, src/lib/venueForm.ts, src/lib/venueImpact.ts
Shared files changed: prisma/schema.prisma, src/lib/permissions.ts</t>
        </is>
      </c>
      <c r="G16" s="4">
        <f>COUNTIF('Retested cases'!$B$5:$B$168,A16)</f>
        <v/>
      </c>
      <c r="H16" s="4" t="inlineStr">
        <is>
          <t>Janelle</t>
        </is>
      </c>
    </row>
    <row r="17" ht="26.4" customHeight="1" s="18">
      <c r="A17" s="4" t="inlineStr">
        <is>
          <t>SPM-40</t>
        </is>
      </c>
      <c r="B17" s="4" t="inlineStr">
        <is>
          <t>Search and Filter Suitable Venues</t>
        </is>
      </c>
      <c r="C17" s="4" t="n">
        <v>2</v>
      </c>
      <c r="D17" s="4" t="inlineStr">
        <is>
          <t>Start of Sprint 3 (a5730c5)</t>
        </is>
      </c>
      <c r="E17" s="4" t="inlineStr">
        <is>
          <t>Yes</t>
        </is>
      </c>
      <c r="F17" s="4" t="inlineStr">
        <is>
          <t>Changed on main: src/app/api/events/[id]/route.ts, src/app/api/venues/search/route.ts, src/app/events/[id]/venue/page.tsx, src/app/venues/page.tsx, src/app/venues/search/page.tsx, src/lib/validation/venues.ts, src/lib/venueSearch.ts, src/lib/venueSearchForm.ts, src/lib/venueSlots.ts, src/lib/venueSuitability.ts
Shared files changed: prisma/schema.prisma, prisma/seed.ts, src/lib/permissions.ts</t>
        </is>
      </c>
      <c r="G17" s="4">
        <f>COUNTIF('Retested cases'!$B$5:$B$168,A17)</f>
        <v/>
      </c>
      <c r="H17" s="4" t="inlineStr">
        <is>
          <t>Janelle</t>
        </is>
      </c>
    </row>
    <row r="18" ht="66" customHeight="1" s="18">
      <c r="A18" s="4" t="inlineStr">
        <is>
          <t>SPM-41</t>
        </is>
      </c>
      <c r="B18" s="4" t="inlineStr">
        <is>
          <t>Check Venue Suitability</t>
        </is>
      </c>
      <c r="C18" s="4" t="n">
        <v>2</v>
      </c>
      <c r="D18" s="4" t="inlineStr">
        <is>
          <t>Start of Sprint 3 (a5730c5)</t>
        </is>
      </c>
      <c r="E18" s="4" t="inlineStr">
        <is>
          <t>Yes</t>
        </is>
      </c>
      <c r="F18" s="4" t="inlineStr">
        <is>
          <t>Changed on main: src/app/venues/page.tsx, src/components/VenueForm.tsx, src/lib/venueImpact.ts
Shared files changed: prisma/schema.prisma, prisma/seed.ts</t>
        </is>
      </c>
      <c r="G18" s="4">
        <f>COUNTIF('Retested cases'!$B$5:$B$168,A18)</f>
        <v/>
      </c>
      <c r="H18" s="4" t="inlineStr">
        <is>
          <t>Janelle</t>
        </is>
      </c>
    </row>
    <row r="19">
      <c r="A19" s="4" t="inlineStr">
        <is>
          <t>SPM-42</t>
        </is>
      </c>
      <c r="B19" s="4" t="inlineStr">
        <is>
          <t>Request Venue Booking</t>
        </is>
      </c>
      <c r="C19" s="4" t="n">
        <v>2</v>
      </c>
      <c r="D19" s="4" t="inlineStr">
        <is>
          <t>Start of Sprint 3 (a5730c5)</t>
        </is>
      </c>
      <c r="E19" s="4" t="inlineStr">
        <is>
          <t>Yes</t>
        </is>
      </c>
      <c r="F19" s="4" t="inlineStr">
        <is>
          <t>Changed on main: src/app/events/[id]/venue/page.tsx, src/lib/venueBookingRequest.ts, src/lib/venueSearch.ts, src/lib/venueSlots.ts, src/lib/venueSuitability.ts
Shared files changed: prisma/schema.prisma, prisma/seed.ts, src/lib/permissions.ts</t>
        </is>
      </c>
      <c r="G19" s="4">
        <f>COUNTIF('Retested cases'!$B$5:$B$168,A19)</f>
        <v/>
      </c>
      <c r="H19" s="4" t="inlineStr">
        <is>
          <t>Sammi</t>
        </is>
      </c>
    </row>
    <row r="20" ht="26.4" customHeight="1" s="18">
      <c r="A20" s="4" t="inlineStr">
        <is>
          <t>SPM-43</t>
        </is>
      </c>
      <c r="B20" s="4" t="inlineStr">
        <is>
          <t>Review Venue Booking Request</t>
        </is>
      </c>
      <c r="C20" s="4" t="n">
        <v>2</v>
      </c>
      <c r="D20" s="4" t="inlineStr">
        <is>
          <t>Start of Sprint 3 (a5730c5)</t>
        </is>
      </c>
      <c r="E20" s="4" t="inlineStr">
        <is>
          <t>Yes</t>
        </is>
      </c>
      <c r="F20" s="4" t="inlineStr">
        <is>
          <t>Changed on main: src/app/api/events/[id]/venue-bookings/route.ts, src/app/api/venue-bookings/[id]/route.ts, src/app/api/venue-bookings/route.ts, src/app/bookings/page.tsx, src/app/events/[id]/booking/new/page.tsx, src/app/events/[id]/venue/page.tsx, src/app/venues/[id]/availability/page.tsx, src/app/venues/page.tsx, src/lib/validation/venues.ts, src/lib/venueBookingRequest.ts, src/lib/venueBookingReview.ts, src/lib/venueSlots.ts
Shared files changed: prisma/schema.prisma, prisma/seed.ts, src/lib/permissions.ts, src/lib/roles.ts</t>
        </is>
      </c>
      <c r="G20" s="4">
        <f>COUNTIF('Retested cases'!$B$5:$B$168,A20)</f>
        <v/>
      </c>
      <c r="H20" s="4" t="inlineStr">
        <is>
          <t>Sammi</t>
        </is>
      </c>
    </row>
    <row r="21">
      <c r="A21" s="4" t="inlineStr">
        <is>
          <t>SPM-44</t>
        </is>
      </c>
      <c r="B21" s="4" t="inlineStr">
        <is>
          <t>Detect Venue Booking Conflicts</t>
        </is>
      </c>
      <c r="C21" s="4" t="inlineStr">
        <is>
          <t>2, 3</t>
        </is>
      </c>
      <c r="D21" s="4" t="inlineStr">
        <is>
          <t>Story merged 2026-10-08 (d15ee12)</t>
        </is>
      </c>
      <c r="E21" s="4" t="inlineStr">
        <is>
          <t>Yes</t>
        </is>
      </c>
      <c r="F21" s="4" t="inlineStr">
        <is>
          <t>Changed by later Sprint 3 merges: src/app/api/events/[id]/venue-bookings/route.ts, src/app/events/[id]/booking/new/page.tsx, src/app/events/[id]/venue/page.tsx, src/lib/venueBookingRequest.ts, src/lib/venueConflict.ts, src/lib/venueSearch.ts, src/lib/venueSlots.ts
Shared files changed: prisma/seed.ts</t>
        </is>
      </c>
      <c r="G21" s="4">
        <f>COUNTIF('Retested cases'!$B$5:$B$168,A21)</f>
        <v/>
      </c>
      <c r="H21" s="4" t="inlineStr">
        <is>
          <t>Sammi</t>
        </is>
      </c>
    </row>
    <row r="22">
      <c r="A22" s="4" t="inlineStr">
        <is>
          <t>SPM-45</t>
        </is>
      </c>
      <c r="B22" s="4" t="inlineStr">
        <is>
          <t>Record Venue Unavailability</t>
        </is>
      </c>
      <c r="C22" s="4" t="n">
        <v>3</v>
      </c>
      <c r="D22" s="4" t="inlineStr">
        <is>
          <t>Story merged 2026-10-10 (ed920fa)</t>
        </is>
      </c>
      <c r="E22" s="4" t="inlineStr">
        <is>
          <t>Yes</t>
        </is>
      </c>
      <c r="F22" s="4" t="inlineStr">
        <is>
          <t>Changed by later Sprint 3 merges: src/app/venues/page.tsx, src/lib/validation/venues.ts
Shared files changed: prisma/schema.prisma, prisma/seed.ts, src/lib/roles.ts</t>
        </is>
      </c>
      <c r="G22" s="4">
        <f>COUNTIF('Retested cases'!$B$5:$B$168,A22)</f>
        <v/>
      </c>
      <c r="H22" s="4" t="inlineStr">
        <is>
          <t>Janelle</t>
        </is>
      </c>
    </row>
    <row r="23">
      <c r="A23" s="4" t="inlineStr">
        <is>
          <t>SPM-46</t>
        </is>
      </c>
      <c r="B23" s="4" t="inlineStr">
        <is>
          <t>View Venue Availability</t>
        </is>
      </c>
      <c r="C23" s="4" t="n">
        <v>2</v>
      </c>
      <c r="D23" s="4" t="inlineStr">
        <is>
          <t>Start of Sprint 3 (a5730c5)</t>
        </is>
      </c>
      <c r="E23" s="4" t="inlineStr">
        <is>
          <t>Yes</t>
        </is>
      </c>
      <c r="F23" s="4" t="inlineStr">
        <is>
          <t>Changed on main: src/app/api/venues/[id]/availability/route.ts, src/app/venues/[id]/edit/page.tsx, src/app/venues/page.tsx, src/lib/validation/venues.ts, src/lib/venueAvailability.ts, src/lib/venueSlots.ts
Shared files changed: src/lib/format.ts, src/lib/permissions.ts</t>
        </is>
      </c>
      <c r="G23" s="4">
        <f>COUNTIF('Retested cases'!$B$5:$B$168,A23)</f>
        <v/>
      </c>
      <c r="H23" s="4" t="inlineStr">
        <is>
          <t>Janelle</t>
        </is>
      </c>
    </row>
    <row r="24">
      <c r="A24" s="4" t="inlineStr">
        <is>
          <t>SPM-47</t>
        </is>
      </c>
      <c r="B24" s="4" t="inlineStr">
        <is>
          <t>Record Equipment Requirements</t>
        </is>
      </c>
      <c r="C24" s="4" t="n">
        <v>1</v>
      </c>
      <c r="D24" s="4" t="inlineStr">
        <is>
          <t>Start of Sprint 3 (a5730c5)</t>
        </is>
      </c>
      <c r="E24" s="4" t="inlineStr">
        <is>
          <t>Yes</t>
        </is>
      </c>
      <c r="F24" s="4" t="inlineStr">
        <is>
          <t>Changed on main: src/app/api/events/[id]/equipment/[requestId]/route.ts, src/app/api/events/[id]/equipment/route.ts, src/app/api/events/[id]/route.ts, src/app/events/[id]/equipment/page.tsx, src/app/events/[id]/page.tsx, src/lib/validation/equipment.ts
Shared files changed: prisma/schema.prisma, src/lib/eventTabs.ts, src/lib/permissions.ts, src/lib/roles.ts</t>
        </is>
      </c>
      <c r="G24" s="4">
        <f>COUNTIF('Retested cases'!$B$5:$B$168,A24)</f>
        <v/>
      </c>
      <c r="H24" s="4" t="inlineStr">
        <is>
          <t>Kristen</t>
        </is>
      </c>
    </row>
    <row r="25">
      <c r="A25" s="4" t="inlineStr">
        <is>
          <t>SPM-48</t>
        </is>
      </c>
      <c r="B25" s="4" t="inlineStr">
        <is>
          <t>Check Equipment Availability</t>
        </is>
      </c>
      <c r="C25" s="4" t="n">
        <v>2</v>
      </c>
      <c r="D25" s="4" t="inlineStr">
        <is>
          <t>Start of Sprint 3 (a5730c5)</t>
        </is>
      </c>
      <c r="E25" s="4" t="inlineStr">
        <is>
          <t>Yes</t>
        </is>
      </c>
      <c r="F25" s="4" t="inlineStr">
        <is>
          <t>Changed on main: src/app/api/equipment/[id]/out-of-service/route.ts, src/app/api/equipment/route.ts, src/app/events/[id]/equipment/page.tsx, src/lib/validation/equipment.ts
Shared files changed: prisma/schema.prisma</t>
        </is>
      </c>
      <c r="G25" s="4">
        <f>COUNTIF('Retested cases'!$B$5:$B$168,A25)</f>
        <v/>
      </c>
      <c r="H25" s="4" t="inlineStr">
        <is>
          <t>Kristen</t>
        </is>
      </c>
    </row>
    <row r="26">
      <c r="A26" s="4" t="inlineStr">
        <is>
          <t>SPM-49</t>
        </is>
      </c>
      <c r="B26" s="4" t="inlineStr">
        <is>
          <t>Reserve Equipment</t>
        </is>
      </c>
      <c r="C26" s="4" t="n">
        <v>2</v>
      </c>
      <c r="D26" s="4" t="inlineStr">
        <is>
          <t>Start of Sprint 3 (a5730c5)</t>
        </is>
      </c>
      <c r="E26" s="4" t="inlineStr">
        <is>
          <t>Yes</t>
        </is>
      </c>
      <c r="F26" s="4" t="inlineStr">
        <is>
          <t>Changed on main: src/app/events/[id]/equipment/page.tsx</t>
        </is>
      </c>
      <c r="G26" s="4">
        <f>COUNTIF('Retested cases'!$B$5:$B$168,A26)</f>
        <v/>
      </c>
      <c r="H26" s="4" t="inlineStr">
        <is>
          <t>Kristen</t>
        </is>
      </c>
    </row>
    <row r="27">
      <c r="A27" s="4" t="inlineStr">
        <is>
          <t>SPM-50</t>
        </is>
      </c>
      <c r="B27" s="4" t="inlineStr">
        <is>
          <t>Review and Update Equipment Request</t>
        </is>
      </c>
      <c r="C27" s="4" t="n">
        <v>2</v>
      </c>
      <c r="D27" s="4" t="inlineStr">
        <is>
          <t>Start of Sprint 3 (a5730c5)</t>
        </is>
      </c>
      <c r="E27" s="4" t="inlineStr">
        <is>
          <t>Yes</t>
        </is>
      </c>
      <c r="F27" s="4" t="inlineStr">
        <is>
          <t>Changed on main: src/app/api/events/[id]/equipment/[requestId]/route.ts, src/app/api/events/[id]/equipment/route.ts, src/app/equipment/requests/[id]/page.tsx, src/app/events/[id]/equipment/page.tsx, src/lib/equipmentAvailability.ts, src/lib/equipmentAvailabilityService.ts, src/lib/validation/equipment.ts
Shared files changed: prisma/schema.prisma, prisma/seed.ts, src/lib/permissions.ts, src/lib/roles.ts, src/lib/statuses.ts</t>
        </is>
      </c>
      <c r="G27" s="4">
        <f>COUNTIF('Retested cases'!$B$5:$B$168,A27)</f>
        <v/>
      </c>
      <c r="H27" s="4" t="inlineStr">
        <is>
          <t>Kristen</t>
        </is>
      </c>
    </row>
    <row r="28">
      <c r="A28" s="4" t="inlineStr">
        <is>
          <t>SPM-51</t>
        </is>
      </c>
      <c r="B28" s="4" t="inlineStr">
        <is>
          <t>Register for Event</t>
        </is>
      </c>
      <c r="C28" s="4" t="n">
        <v>3</v>
      </c>
      <c r="D28" s="4" t="inlineStr">
        <is>
          <t>Story merged 2026-10-13 (928365d)</t>
        </is>
      </c>
      <c r="E28" s="4" t="inlineStr">
        <is>
          <t>Yes</t>
        </is>
      </c>
      <c r="F28" s="4" t="inlineStr">
        <is>
          <t>Changed by later Sprint 3 merges: src/app/api/events/[id]/route.ts, src/app/events/[id]/page.tsx
Changed by SPM-52/SPM-65 (not merged yet): src/app/events/[id]/RegisterPanel.tsx, src/app/registrations/page.tsx, src/lib/registrationEligibility.ts
Shared files changed: src/lib/permissions.ts, src/lib/statuses.ts</t>
        </is>
      </c>
      <c r="G28" s="4">
        <f>COUNTIF('Retested cases'!$B$5:$B$168,A28)</f>
        <v/>
      </c>
      <c r="H28" s="4" t="inlineStr">
        <is>
          <t>Jordan</t>
        </is>
      </c>
    </row>
    <row r="29">
      <c r="A29" s="4" t="inlineStr">
        <is>
          <t>SPM-52</t>
        </is>
      </c>
      <c r="B29" s="4" t="inlineStr">
        <is>
          <t>Withdraw Registration</t>
        </is>
      </c>
      <c r="C29" s="4" t="n">
        <v>3</v>
      </c>
      <c r="D29" s="4" t="inlineStr">
        <is>
          <t>In review, not merged yet</t>
        </is>
      </c>
      <c r="E29" s="4" t="inlineStr">
        <is>
          <t>No</t>
        </is>
      </c>
      <c r="F29" s="4" t="inlineStr">
        <is>
          <t>Finished this sprint; covered by its own test pass when it merges. Its journey is in the smoke run (steps 18-19).</t>
        </is>
      </c>
      <c r="G29" s="4">
        <f>COUNTIF('Retested cases'!$B$5:$B$168,A29)</f>
        <v/>
      </c>
      <c r="H29" s="4" t="n"/>
    </row>
    <row r="30">
      <c r="A30" s="4" t="inlineStr">
        <is>
          <t>SPM-54</t>
        </is>
      </c>
      <c r="B30" s="4" t="inlineStr">
        <is>
          <t>Begin Event Planning</t>
        </is>
      </c>
      <c r="C30" s="4" t="n">
        <v>2</v>
      </c>
      <c r="D30" s="4" t="inlineStr">
        <is>
          <t>Start of Sprint 3 (a5730c5)</t>
        </is>
      </c>
      <c r="E30" s="4" t="inlineStr">
        <is>
          <t>Yes</t>
        </is>
      </c>
      <c r="F30" s="4" t="inlineStr">
        <is>
          <t>Changed on main: src/app/api/events/[id]/equipment/[requestId]/route.ts, src/app/api/events/[id]/equipment/route.ts, src/app/api/events/[id]/route.ts, src/app/api/events/[id]/venue-bookings/route.ts, src/app/api/venues/search/route.ts, src/app/dashboard/page.tsx, src/app/events/[id]/booking/new/page.tsx, src/app/events/[id]/equipment/page.tsx, src/app/events/[id]/page.tsx, src/app/events/[id]/venue/page.tsx, src/app/events/page.tsx, src/app/venues/search/page.tsx, src/lib/beginPlanning.ts, src/lib/venueBookingRequest.ts, src/lib/venueSearchForm.ts
Shared files changed: prisma/seed.ts, src/lib/eventTabs.ts, src/lib/permissions.ts, src/lib/roles.ts, src/lib/statuses.ts</t>
        </is>
      </c>
      <c r="G30" s="4">
        <f>COUNTIF('Retested cases'!$B$5:$B$168,A30)</f>
        <v/>
      </c>
      <c r="H30" s="4" t="inlineStr">
        <is>
          <t>Jordan</t>
        </is>
      </c>
    </row>
    <row r="31">
      <c r="A31" s="4" t="inlineStr">
        <is>
          <t>SPM-55</t>
        </is>
      </c>
      <c r="B31" s="4" t="inlineStr">
        <is>
          <t>Record Equipment Unavailability</t>
        </is>
      </c>
      <c r="C31" s="4" t="n">
        <v>3</v>
      </c>
      <c r="D31" s="4" t="inlineStr">
        <is>
          <t>Story merged 2026-10-12 (d7f0003)</t>
        </is>
      </c>
      <c r="E31" s="4" t="inlineStr">
        <is>
          <t>Yes</t>
        </is>
      </c>
      <c r="F31" s="4" t="inlineStr">
        <is>
          <t>Changed by later Sprint 3 merges: src/lib/equipmentAvailability.ts
Shared files changed: prisma/schema.prisma, src/lib/permissions.ts, src/lib/statuses.ts</t>
        </is>
      </c>
      <c r="G31" s="4">
        <f>COUNTIF('Retested cases'!$B$5:$B$168,A31)</f>
        <v/>
      </c>
      <c r="H31" s="4" t="inlineStr">
        <is>
          <t>Kristen</t>
        </is>
      </c>
    </row>
    <row r="32">
      <c r="A32" s="4" t="inlineStr">
        <is>
          <t>SPM-62</t>
        </is>
      </c>
      <c r="B32" s="4" t="inlineStr">
        <is>
          <t>Update Event Information</t>
        </is>
      </c>
      <c r="C32" s="4" t="n">
        <v>3</v>
      </c>
      <c r="D32" s="4" t="inlineStr">
        <is>
          <t>Story merged 2026-10-07 (e70978f)</t>
        </is>
      </c>
      <c r="E32" s="4" t="inlineStr">
        <is>
          <t>Yes</t>
        </is>
      </c>
      <c r="F32" s="4" t="inlineStr">
        <is>
          <t>Changed by later Sprint 3 merges: src/app/api/events/[id]/equipment/[requestId]/route.ts, src/app/api/events/[id]/equipment/route.ts, src/app/api/events/[id]/information/route.ts, src/app/events/[id]/equipment/page.tsx, src/app/events/[id]/page.tsx, src/app/events/[id]/update/page.tsx, src/lib/applyEventInformation.ts, src/lib/validation/events.ts
Shared files changed: prisma/schema.prisma, src/lib/permissions.ts</t>
        </is>
      </c>
      <c r="G32" s="4">
        <f>COUNTIF('Retested cases'!$B$5:$B$168,A32)</f>
        <v/>
      </c>
      <c r="H32" s="4" t="inlineStr">
        <is>
          <t>Kayalvizhi</t>
        </is>
      </c>
    </row>
    <row r="33">
      <c r="A33" s="4" t="inlineStr">
        <is>
          <t>SPM-64</t>
        </is>
      </c>
      <c r="B33" s="4" t="inlineStr">
        <is>
          <t>Configure Event Registration</t>
        </is>
      </c>
      <c r="C33" s="4" t="n">
        <v>3</v>
      </c>
      <c r="D33" s="4" t="inlineStr">
        <is>
          <t>Story merged 2026-10-12 (d719eab)</t>
        </is>
      </c>
      <c r="E33" s="4" t="inlineStr">
        <is>
          <t>Yes</t>
        </is>
      </c>
      <c r="F33" s="4" t="inlineStr">
        <is>
          <t>Changed by later Sprint 3 merges: src/app/api/events/[id]/route.ts, src/app/events/[id]/page.tsx, src/lib/eventConfirmation.ts
Changed by SPM-52/SPM-65 (not merged yet): src/app/events/[id]/RegistrationCard.tsx, src/lib/validation/registrations.ts
Shared files changed: prisma/schema.prisma, src/lib/permissions.ts</t>
        </is>
      </c>
      <c r="G33" s="4">
        <f>COUNTIF('Retested cases'!$B$5:$B$168,A33)</f>
        <v/>
      </c>
      <c r="H33" s="4" t="inlineStr">
        <is>
          <t>Jordan</t>
        </is>
      </c>
    </row>
    <row r="34">
      <c r="A34" s="4" t="inlineStr">
        <is>
          <t>SPM-65</t>
        </is>
      </c>
      <c r="B34" s="4" t="inlineStr">
        <is>
          <t>View Registration List</t>
        </is>
      </c>
      <c r="C34" s="4" t="n">
        <v>3</v>
      </c>
      <c r="D34" s="4" t="inlineStr">
        <is>
          <t>In review, not merged yet</t>
        </is>
      </c>
      <c r="E34" s="4" t="inlineStr">
        <is>
          <t>No</t>
        </is>
      </c>
      <c r="F34" s="4" t="inlineStr">
        <is>
          <t>Finished this sprint; covered by its own test pass when it merges. Its journey is in the smoke run (steps 18-19).</t>
        </is>
      </c>
      <c r="G34" s="4">
        <f>COUNTIF('Retested cases'!$B$5:$B$168,A34)</f>
        <v/>
      </c>
      <c r="H34" s="4" t="n"/>
    </row>
    <row r="35">
      <c r="A35" s="4" t="inlineStr">
        <is>
          <t>SPM-67</t>
        </is>
      </c>
      <c r="B35" s="4" t="inlineStr">
        <is>
          <t>Withdraw or Release Venue Booking</t>
        </is>
      </c>
      <c r="C35" s="4" t="n">
        <v>3</v>
      </c>
      <c r="D35" s="4" t="inlineStr">
        <is>
          <t>Story merged 2026-10-13 (e7f9704)</t>
        </is>
      </c>
      <c r="E35" s="4" t="inlineStr">
        <is>
          <t>Yes</t>
        </is>
      </c>
      <c r="F35" s="4" t="inlineStr">
        <is>
          <t>Changed by later Sprint 3 merges: src/app/api/events/[id]/venue-bookings/[bookingId]/route.ts, src/app/api/events/[id]/venue-bookings/route.ts, src/app/api/venue-bookings/[id]/route.ts, src/app/api/venue-bookings/route.ts, src/app/events/[id]/venue/page.tsx, src/lib/eventConfirmation.ts, src/lib/validation/venues.ts
Shared files changed: prisma/schema.prisma, prisma/seed.ts, src/lib/statuses.ts</t>
        </is>
      </c>
      <c r="G35" s="4">
        <f>COUNTIF('Retested cases'!$B$5:$B$168,A35)</f>
        <v/>
      </c>
      <c r="H35" s="4" t="inlineStr">
        <is>
          <t>Sammi</t>
        </is>
      </c>
    </row>
    <row r="36">
      <c r="A36" s="4" t="inlineStr">
        <is>
          <t>SPM-68</t>
        </is>
      </c>
      <c r="B36" s="4" t="inlineStr">
        <is>
          <t>Review Flagged Arrangements</t>
        </is>
      </c>
      <c r="C36" s="4" t="n">
        <v>3</v>
      </c>
      <c r="D36" s="4" t="inlineStr">
        <is>
          <t>Story merged 2026-10-15 (ee42ff0)</t>
        </is>
      </c>
      <c r="E36" s="4" t="inlineStr">
        <is>
          <t>Yes</t>
        </is>
      </c>
      <c r="F36" s="4" t="inlineStr">
        <is>
          <t>Changed by later Sprint 3 merges: src/app/api/events/[id]/arrangements/route.ts, src/app/api/events/[id]/venue-bookings/[bookingId]/route.ts, src/app/events/[id]/booking/new/page.tsx, src/app/events/[id]/venue/page.tsx, src/lib/eventConfirmation.ts, src/lib/flaggedArrangements.ts
Shared files changed: prisma/schema.prisma, prisma/seed.ts</t>
        </is>
      </c>
      <c r="G36" s="4">
        <f>COUNTIF('Retested cases'!$B$5:$B$168,A36)</f>
        <v/>
      </c>
      <c r="H36" s="4" t="inlineStr">
        <is>
          <t>Sammi</t>
        </is>
      </c>
    </row>
    <row r="37">
      <c r="A37" s="4" t="inlineStr">
        <is>
          <t>SPM-71</t>
        </is>
      </c>
      <c r="B37" s="4" t="inlineStr">
        <is>
          <t>View Notifications</t>
        </is>
      </c>
      <c r="C37" s="4" t="n">
        <v>3</v>
      </c>
      <c r="D37" s="4" t="inlineStr">
        <is>
          <t>Story merged 2026-10-13 (631a6bc)</t>
        </is>
      </c>
      <c r="E37" s="4" t="inlineStr">
        <is>
          <t>Yes</t>
        </is>
      </c>
      <c r="F37" s="4" t="inlineStr">
        <is>
          <t>Changed by later Sprint 3 merges: src/app/api/notifications/unread-count/route.ts, src/app/events/[id]/equipment/page.tsx, src/app/events/[id]/page.tsx, src/app/events/[id]/venue/page.tsx, src/components/AppShell.tsx, src/lib/notificationView.ts
Shared files changed: prisma/seed.ts, src/lib/permissions.ts</t>
        </is>
      </c>
      <c r="G37" s="4">
        <f>COUNTIF('Retested cases'!$B$5:$B$168,A37)</f>
        <v/>
      </c>
      <c r="H37" s="4" t="inlineStr">
        <is>
          <t>Janelle</t>
        </is>
      </c>
    </row>
    <row r="38">
      <c r="A38" s="4" t="inlineStr">
        <is>
          <t>SPM-81</t>
        </is>
      </c>
      <c r="B38" s="4" t="inlineStr">
        <is>
          <t>Request More Than One Venue for an Event</t>
        </is>
      </c>
      <c r="C38" s="4" t="n">
        <v>3</v>
      </c>
      <c r="D38" s="4" t="inlineStr">
        <is>
          <t>Story merged 2026-10-11 (c231514)</t>
        </is>
      </c>
      <c r="E38" s="4" t="inlineStr">
        <is>
          <t>Yes</t>
        </is>
      </c>
      <c r="F38" s="4" t="inlineStr">
        <is>
          <t>Changed by later Sprint 3 merges: src/app/api/events/[id]/route.ts, src/app/api/events/[id]/venue-bookings/route.ts, src/app/api/venue-bookings/[id]/route.ts, src/app/bookings/page.tsx, src/app/events/[id]/booking/new/page.tsx, src/app/events/[id]/page.tsx, src/app/events/[id]/venue/page.tsx, src/lib/equipmentAvailabilityService.ts, src/lib/eventConfirmation.ts, src/lib/venueBookingRequest.ts, src/lib/venueConflict.ts
Shared files changed: prisma/seed.ts</t>
        </is>
      </c>
      <c r="G38" s="4">
        <f>COUNTIF('Retested cases'!$B$5:$B$168,A38)</f>
        <v/>
      </c>
      <c r="H38" s="4" t="inlineStr">
        <is>
          <t>Sammi</t>
        </is>
      </c>
    </row>
    <row r="39">
      <c r="A39" s="4" t="inlineStr">
        <is>
          <t>SPM-82</t>
        </is>
      </c>
      <c r="B39" s="4" t="inlineStr">
        <is>
          <t>Expire Tentative Venue Hold</t>
        </is>
      </c>
      <c r="C39" s="4" t="n">
        <v>3</v>
      </c>
      <c r="D39" s="4" t="inlineStr">
        <is>
          <t>Story merged 2026-10-16 (65f6556)</t>
        </is>
      </c>
      <c r="E39" s="4" t="inlineStr">
        <is>
          <t>Yes</t>
        </is>
      </c>
      <c r="F39" s="4" t="inlineStr">
        <is>
          <t>Changed by later Sprint 3 merges: src/app/api/events/[id]/route.ts, src/app/api/events/[id]/venue-bookings/route.ts, src/app/events/[id]/venue/page.tsx, src/lib/eventConfirmation.ts
Shared files changed: prisma/seed.ts, prisma/schema.prisma, src/lib/statuses.ts</t>
        </is>
      </c>
      <c r="G39" s="4">
        <f>COUNTIF('Retested cases'!$B$5:$B$168,A39)</f>
        <v/>
      </c>
      <c r="H39" s="4" t="inlineStr">
        <is>
          <t>Sammi</t>
        </is>
      </c>
    </row>
    <row r="40">
      <c r="A40" s="4" t="inlineStr">
        <is>
          <t>SPM-85</t>
        </is>
      </c>
      <c r="B40" s="4" t="inlineStr">
        <is>
          <t>Safety Officer Role and Access</t>
        </is>
      </c>
      <c r="C40" s="4" t="n">
        <v>3</v>
      </c>
      <c r="D40" s="4" t="inlineStr">
        <is>
          <t>Story merged 2026-10-13 (debfb0d)</t>
        </is>
      </c>
      <c r="E40" s="4" t="inlineStr">
        <is>
          <t>Yes</t>
        </is>
      </c>
      <c r="F40" s="4" t="inlineStr">
        <is>
          <t>Changed by later Sprint 3 merges: src/app/api/events/[id]/route.ts, src/app/api/events/[id]/safety-check/route.ts, src/app/api/safety-checks/route.ts, src/app/dashboard/page.tsx, src/app/events/[id]/equipment/page.tsx, src/app/events/[id]/page.tsx, src/app/events/[id]/update/page.tsx, src/app/events/[id]/venue/page.tsx
Shared files changed: prisma/seed.ts, src/lib/permissions.ts, src/lib/roles.ts</t>
        </is>
      </c>
      <c r="G40" s="4">
        <f>COUNTIF('Retested cases'!$B$5:$B$168,A40)</f>
        <v/>
      </c>
      <c r="H40" s="4" t="inlineStr">
        <is>
          <t>Kayalvizhi</t>
        </is>
      </c>
    </row>
    <row r="41">
      <c r="A41" s="4" t="inlineStr">
        <is>
          <t>SPM-86</t>
        </is>
      </c>
      <c r="B41" s="4" t="inlineStr">
        <is>
          <t>Submit Event for Operational Safety Check</t>
        </is>
      </c>
      <c r="C41" s="4" t="n">
        <v>3</v>
      </c>
      <c r="D41" s="4" t="inlineStr">
        <is>
          <t>Story merged 2026-10-10 (2f46224)</t>
        </is>
      </c>
      <c r="E41" s="4" t="inlineStr">
        <is>
          <t>Yes</t>
        </is>
      </c>
      <c r="F41" s="4" t="inlineStr">
        <is>
          <t>Changed by later Sprint 3 merges: src/app/api/events/[id]/route.ts, src/app/api/events/[id]/safety-check/route.ts, src/app/dashboard/page.tsx, src/app/events/[id]/page.tsx, src/app/events/page.tsx, src/lib/equipmentAvailability.ts, src/lib/eventConfirmation.ts, src/lib/safetyCheck.ts
Shared files changed: prisma/schema.prisma, src/lib/permissions.ts, src/lib/statuses.ts</t>
        </is>
      </c>
      <c r="G41" s="4">
        <f>COUNTIF('Retested cases'!$B$5:$B$168,A41)</f>
        <v/>
      </c>
      <c r="H41" s="4" t="inlineStr">
        <is>
          <t>Kristen</t>
        </is>
      </c>
    </row>
    <row r="42">
      <c r="A42" s="4" t="inlineStr">
        <is>
          <t>SPM-87</t>
        </is>
      </c>
      <c r="B42" s="4" t="inlineStr">
        <is>
          <t>Conduct Operational Safety Check</t>
        </is>
      </c>
      <c r="C42" s="4" t="n">
        <v>3</v>
      </c>
      <c r="D42" s="4" t="inlineStr">
        <is>
          <t>Story merged 2026-10-14 (74f6026)</t>
        </is>
      </c>
      <c r="E42" s="4" t="inlineStr">
        <is>
          <t>Yes</t>
        </is>
      </c>
      <c r="F42" s="4" t="inlineStr">
        <is>
          <t>Changed by later Sprint 3 merges: src/app/api/events/[id]/route.ts, src/app/events/[id]/page.tsx, src/lib/safetyDecision.ts
Shared files changed: src/lib/permissions.ts, src/lib/statuses.ts</t>
        </is>
      </c>
      <c r="G42" s="4">
        <f>COUNTIF('Retested cases'!$B$5:$B$168,A42)</f>
        <v/>
      </c>
      <c r="H42" s="4" t="inlineStr">
        <is>
          <t>Kristen</t>
        </is>
      </c>
    </row>
    <row r="43">
      <c r="A43" s="4" t="inlineStr">
        <is>
          <t>SPM-88</t>
        </is>
      </c>
      <c r="B43" s="4" t="inlineStr">
        <is>
          <t>Resolve Safety Check Outcome</t>
        </is>
      </c>
      <c r="C43" s="4" t="n">
        <v>3</v>
      </c>
      <c r="D43" s="4" t="inlineStr">
        <is>
          <t>Story merged 2026-10-16 (0862663)</t>
        </is>
      </c>
      <c r="E43" s="4" t="inlineStr">
        <is>
          <t>Yes, once SPM-52 merges</t>
        </is>
      </c>
      <c r="F43" s="4" t="inlineStr">
        <is>
          <t>Changed by SPM-52/SPM-65 (not merged yet): src/app/api/events/[id]/route.ts, src/app/events/[id]/page.tsx
Shared files changed: src/lib/permissions.ts</t>
        </is>
      </c>
      <c r="G43" s="4">
        <f>COUNTIF('Retested cases'!$B$5:$B$168,A43)</f>
        <v/>
      </c>
      <c r="H43" s="4" t="inlineStr">
        <is>
          <t>Kristen</t>
        </is>
      </c>
    </row>
    <row r="44">
      <c r="A44" s="4" t="inlineStr">
        <is>
          <t>SPM-90</t>
        </is>
      </c>
      <c r="B44" s="4" t="inlineStr">
        <is>
          <t>Check Each Venue Against Its Own Requirements</t>
        </is>
      </c>
      <c r="C44" s="4" t="n">
        <v>3</v>
      </c>
      <c r="D44" s="4" t="inlineStr">
        <is>
          <t>Story merged 2026-10-14 (6d7697f)</t>
        </is>
      </c>
      <c r="E44" s="4" t="inlineStr">
        <is>
          <t>Yes</t>
        </is>
      </c>
      <c r="F44" s="4" t="inlineStr">
        <is>
          <t>Changed by later Sprint 3 merges: src/app/api/events/[id]/route.ts, src/app/api/events/[id]/venue-bookings/route.ts, src/app/api/venue-bookings/route.ts, src/app/bookings/page.tsx, src/app/events/[id]/booking/new/page.tsx, src/app/events/[id]/page.tsx, src/app/events/[id]/readiness/page.tsx, src/app/events/[id]/venue/page.tsx, src/lib/eventArrangements.ts, src/lib/eventConfirmation.ts, src/lib/validation/venues.ts
Shared files changed: prisma/schema.prisma, prisma/seed.ts</t>
        </is>
      </c>
      <c r="G44" s="4">
        <f>COUNTIF('Retested cases'!$B$5:$B$168,A44)</f>
        <v/>
      </c>
      <c r="H44" s="4" t="inlineStr">
        <is>
          <t>Janelle</t>
        </is>
      </c>
    </row>
    <row r="45">
      <c r="A45" s="4" t="inlineStr">
        <is>
          <t>SPM-93</t>
        </is>
      </c>
      <c r="B45" s="4" t="inlineStr">
        <is>
          <t>Book Venues in 15-Minute Units</t>
        </is>
      </c>
      <c r="C45" s="4" t="n">
        <v>3</v>
      </c>
      <c r="D45" s="4" t="inlineStr">
        <is>
          <t>Story merged 2026-10-09 (ff62e26)</t>
        </is>
      </c>
      <c r="E45" s="4" t="inlineStr">
        <is>
          <t>Yes</t>
        </is>
      </c>
      <c r="F45" s="4" t="inlineStr">
        <is>
          <t>Changed by later Sprint 3 merges: src/app/api/events/[id]/venue-bookings/route.ts, src/app/api/venues/[id]/availability/route.ts, src/app/bookings/page.tsx, src/app/events/[id]/booking/new/page.tsx, src/app/events/[id]/venue/page.tsx, src/lib/validation/venues.ts, src/lib/venueAvailability.ts, src/lib/venueBookingRequest.ts, src/lib/venueBookingReview.ts
Shared files changed: prisma/seed.ts</t>
        </is>
      </c>
      <c r="G45" s="4">
        <f>COUNTIF('Retested cases'!$B$5:$B$168,A45)</f>
        <v/>
      </c>
      <c r="H45" s="4" t="inlineStr">
        <is>
          <t>Janelle</t>
        </is>
      </c>
    </row>
    <row r="47">
      <c r="A47" s="4" t="inlineStr">
        <is>
          <t>Every story with test cases is in scope this sprint: Sprint 3 reworked the event page, venue booking and readiness code that almost every earlier story uses. No sprint-2-end tag was made, so the baseline is a5730c5, the last commit on main before Sprint 3 started (4 Oct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4.4"/>
  <cols>
    <col width="6" customWidth="1" style="18" min="1" max="1"/>
    <col width="30" customWidth="1" style="18" min="2" max="2"/>
    <col width="62" customWidth="1" style="18" min="3" max="3"/>
    <col width="52" customWidth="1" style="18" min="4" max="4"/>
    <col width="16" customWidth="1" style="18" min="5" max="5"/>
    <col width="12" customWidth="1" style="18" min="6" max="6"/>
    <col width="13" customWidth="1" style="18" min="7" max="7"/>
    <col width="40" customWidth="1" style="18" min="8" max="8"/>
  </cols>
  <sheetData>
    <row r="1" ht="17.4" customHeight="1" s="18">
      <c r="A1" s="1" t="inlineStr">
        <is>
          <t>Sprint 3 regression: smoke run</t>
        </is>
      </c>
    </row>
    <row r="2">
      <c r="A2" s="2" t="inlineStr">
        <is>
          <t>Take one new event, titled 'REG S3 &lt;your name&gt;', through the sprint goal end to end. Do not use any story's fixture events. Password for every account: password123. Use an event date about 4 weeks ahead, with times on the quarter hour (e.g. 10:00-12:00).</t>
        </is>
      </c>
    </row>
    <row r="4" ht="30" customHeight="1" s="18">
      <c r="A4" s="14" t="inlineStr">
        <is>
          <t>Step</t>
        </is>
      </c>
      <c r="B4" s="14" t="inlineStr">
        <is>
          <t>Role (log in as)</t>
        </is>
      </c>
      <c r="C4" s="14" t="inlineStr">
        <is>
          <t>What to do</t>
        </is>
      </c>
      <c r="D4" s="14" t="inlineStr">
        <is>
          <t>Check</t>
        </is>
      </c>
      <c r="E4" s="14" t="inlineStr">
        <is>
          <t>Stories</t>
        </is>
      </c>
      <c r="F4" s="14" t="inlineStr">
        <is>
          <t>Result</t>
        </is>
      </c>
      <c r="G4" s="14" t="inlineStr">
        <is>
          <t>Tested by</t>
        </is>
      </c>
      <c r="H4" s="14" t="inlineStr">
        <is>
          <t>Notes</t>
        </is>
      </c>
    </row>
    <row r="5">
      <c r="A5" s="4" t="n">
        <v>1</v>
      </c>
      <c r="B5" s="4" t="inlineStr">
        <is>
          <t>Event Organiser
rachel.ng@meridianfina.com</t>
        </is>
      </c>
      <c r="C5" s="4" t="inlineStr">
        <is>
          <t>Create an event request with expected attendance 120. Save it as a draft, reopen it from My Events and submit it.</t>
        </is>
      </c>
      <c r="D5" s="4" t="inlineStr">
        <is>
          <t>Status is Submitted. My Events lists only Rachel's own events.</t>
        </is>
      </c>
      <c r="E5" s="4" t="inlineStr">
        <is>
          <t>SPM-23, 24, 25, 31</t>
        </is>
      </c>
      <c r="F5" s="6" t="n"/>
      <c r="G5" s="6" t="n"/>
      <c r="H5" s="6" t="n"/>
    </row>
    <row r="6">
      <c r="A6" s="4" t="n">
        <v>2</v>
      </c>
      <c r="B6" s="4" t="inlineStr">
        <is>
          <t>Event Operations Manager
grace.lim@connectsphere.com</t>
        </is>
      </c>
      <c r="C6" s="4" t="inlineStr">
        <is>
          <t>Assignments: assign Daniel Tan to the event.</t>
        </is>
      </c>
      <c r="D6" s="4" t="inlineStr">
        <is>
          <t>Status is Under review. Rachel sees Daniel Tan as the coordinator.</t>
        </is>
      </c>
      <c r="E6" s="4" t="inlineStr">
        <is>
          <t>SPM-30</t>
        </is>
      </c>
      <c r="F6" s="6" t="n"/>
      <c r="G6" s="6" t="n"/>
      <c r="H6" s="6" t="n"/>
    </row>
    <row r="7">
      <c r="A7" s="4" t="n">
        <v>3</v>
      </c>
      <c r="B7" s="4" t="inlineStr">
        <is>
          <t>Event Coordinator
daniel.tan@connectsphere.com</t>
        </is>
      </c>
      <c r="C7" s="4" t="inlineStr">
        <is>
          <t>Review Queue: open the event, approve it, then begin planning.</t>
        </is>
      </c>
      <c r="D7" s="4" t="inlineStr">
        <is>
          <t>Status is Planning.</t>
        </is>
      </c>
      <c r="E7" s="4" t="inlineStr">
        <is>
          <t>SPM-28, 54</t>
        </is>
      </c>
      <c r="F7" s="6" t="n"/>
      <c r="G7" s="6" t="n"/>
      <c r="H7" s="6" t="n"/>
    </row>
    <row r="8" ht="26.4" customHeight="1" s="18">
      <c r="A8" s="4" t="n">
        <v>4</v>
      </c>
      <c r="B8" s="4" t="inlineStr">
        <is>
          <t>Event Coordinator</t>
        </is>
      </c>
      <c r="C8" s="4" t="inlineStr">
        <is>
          <t>Update the event information with an ordinary edit (e.g. the description only).</t>
        </is>
      </c>
      <c r="D8" s="4" t="inlineStr">
        <is>
          <t>The change is saved. No arrangement is flagged and the status stays Planning.</t>
        </is>
      </c>
      <c r="E8" s="4" t="inlineStr">
        <is>
          <t>SPM-62</t>
        </is>
      </c>
      <c r="F8" s="6" t="n"/>
      <c r="G8" s="6" t="n"/>
      <c r="H8" s="6" t="n"/>
    </row>
    <row r="9">
      <c r="A9" s="4" t="n">
        <v>5</v>
      </c>
      <c r="B9" s="4" t="inlineStr">
        <is>
          <t>Event Coordinator</t>
        </is>
      </c>
      <c r="C9" s="4" t="inlineStr">
        <is>
          <t>Venue tab: search for venues, then request two venues for the same times: a main room (purpose "Main programme", 120 people) and a breakout room (purpose "Breakout", 40 people), each with its own layout.</t>
        </is>
      </c>
      <c r="D9" s="4" t="inlineStr">
        <is>
          <t>Both bookings show on the event as Pending, each with its own venue, purpose, times and hold expiry. Each venue was checked against its own attendance and layout.</t>
        </is>
      </c>
      <c r="E9" s="4" t="inlineStr">
        <is>
          <t>SPM-40, 41, 42, 44, 81, 82, 90, 93</t>
        </is>
      </c>
      <c r="F9" s="6" t="n"/>
      <c r="G9" s="6" t="n"/>
      <c r="H9" s="6" t="n"/>
    </row>
    <row r="10">
      <c r="A10" s="4" t="n">
        <v>6</v>
      </c>
      <c r="B10" s="4" t="inlineStr">
        <is>
          <t>Event Coordinator</t>
        </is>
      </c>
      <c r="C10" s="4" t="inlineStr">
        <is>
          <t>Equipment tab: record one equipment requirement.</t>
        </is>
      </c>
      <c r="D10" s="4" t="inlineStr">
        <is>
          <t>The requirement is saved and shows as Requested.</t>
        </is>
      </c>
      <c r="E10" s="4" t="inlineStr">
        <is>
          <t>SPM-47</t>
        </is>
      </c>
      <c r="F10" s="6" t="n"/>
      <c r="G10" s="6" t="n"/>
      <c r="H10" s="6" t="n"/>
    </row>
    <row r="11">
      <c r="A11" s="4" t="n">
        <v>7</v>
      </c>
      <c r="B11" s="4" t="inlineStr">
        <is>
          <t>Technical Support Staff
kenji.sato@connectsphere.com</t>
        </is>
      </c>
      <c r="C11" s="4" t="inlineStr">
        <is>
          <t>Equipment Requests: open the event's request, check availability and reserve it. Then mark one unrelated equipment item under maintenance and return it to available.</t>
        </is>
      </c>
      <c r="D11" s="4" t="inlineStr">
        <is>
          <t>The request shows Reserved. The item's status changes and changes back.</t>
        </is>
      </c>
      <c r="E11" s="4" t="inlineStr">
        <is>
          <t>SPM-48, 49, 50, 55</t>
        </is>
      </c>
      <c r="F11" s="6" t="n"/>
      <c r="G11" s="6" t="n"/>
      <c r="H11" s="6" t="n"/>
    </row>
    <row r="12" ht="26.4" customHeight="1" s="18">
      <c r="A12" s="4" t="n">
        <v>8</v>
      </c>
      <c r="B12" s="4" t="inlineStr">
        <is>
          <t>Venue Staff
marcus.wong@connectsphere.com</t>
        </is>
      </c>
      <c r="C12" s="4" t="inlineStr">
        <is>
          <t>Booking Requests: approve both of the event's requests.</t>
        </is>
      </c>
      <c r="D12" s="4" t="inlineStr">
        <is>
          <t>Each request shows its purpose, the requested times and the occupied period including setup and turnaround. Both bookings are Approved.</t>
        </is>
      </c>
      <c r="E12" s="4" t="inlineStr">
        <is>
          <t>SPM-43, 90, 93</t>
        </is>
      </c>
      <c r="F12" s="6" t="n"/>
      <c r="G12" s="6" t="n"/>
      <c r="H12" s="6" t="n"/>
    </row>
    <row r="13">
      <c r="A13" s="4" t="n">
        <v>9</v>
      </c>
      <c r="B13" s="4" t="inlineStr">
        <is>
          <t>Venue Staff</t>
        </is>
      </c>
      <c r="C13" s="4" t="inlineStr">
        <is>
          <t>Venues: mark the breakout room unavailable for a period that covers the event's times, with a reason.</t>
        </is>
      </c>
      <c r="D13" s="4" t="inlineStr">
        <is>
          <t>The unavailable period shows on the venue's availability calendar.</t>
        </is>
      </c>
      <c r="E13" s="4" t="inlineStr">
        <is>
          <t>SPM-45, 46</t>
        </is>
      </c>
      <c r="F13" s="6" t="n"/>
      <c r="G13" s="6" t="n"/>
      <c r="H13" s="6" t="n"/>
    </row>
    <row r="14">
      <c r="A14" s="4" t="n">
        <v>10</v>
      </c>
      <c r="B14" s="4" t="inlineStr">
        <is>
          <t>Event Coordinator</t>
        </is>
      </c>
      <c r="C14" s="4" t="inlineStr">
        <is>
          <t>Check Notifications, then open Flagged Arrangements.</t>
        </is>
      </c>
      <c r="D14" s="4" t="inlineStr">
        <is>
          <t>The unread count is shown and a notification about the breakout room links to the event. Only the breakout booking is flagged, with the reason; the main room booking is unchanged.</t>
        </is>
      </c>
      <c r="E14" s="4" t="inlineStr">
        <is>
          <t>SPM-45, 68, 71, 81</t>
        </is>
      </c>
      <c r="F14" s="6" t="n"/>
      <c r="G14" s="6" t="n"/>
      <c r="H14" s="6" t="n"/>
    </row>
    <row r="15">
      <c r="A15" s="4" t="n">
        <v>11</v>
      </c>
      <c r="B15" s="4" t="inlineStr">
        <is>
          <t>Event Coordinator</t>
        </is>
      </c>
      <c r="C15" s="4" t="inlineStr">
        <is>
          <t>From the flagged booking, search for a replacement venue, request it, then release the flagged booking with a reason.</t>
        </is>
      </c>
      <c r="D15" s="4" t="inlineStr">
        <is>
          <t>The search is pre-filled from the flagged booking. The old booking shows Released and stays on the event. The event's own information and status do not change.</t>
        </is>
      </c>
      <c r="E15" s="4" t="inlineStr">
        <is>
          <t>SPM-67, 68</t>
        </is>
      </c>
      <c r="F15" s="6" t="n"/>
      <c r="G15" s="6" t="n"/>
      <c r="H15" s="6" t="n"/>
    </row>
    <row r="16">
      <c r="A16" s="4" t="n">
        <v>12</v>
      </c>
      <c r="B16" s="4" t="inlineStr">
        <is>
          <t>Venue Staff</t>
        </is>
      </c>
      <c r="C16" s="4" t="inlineStr">
        <is>
          <t>Approve the replacement booking request.</t>
        </is>
      </c>
      <c r="D16" s="4" t="inlineStr">
        <is>
          <t>The replacement booking is Approved. The released booking's time is free on its venue's calendar.</t>
        </is>
      </c>
      <c r="E16" s="4" t="inlineStr">
        <is>
          <t>SPM-43, 67</t>
        </is>
      </c>
      <c r="F16" s="6" t="n"/>
      <c r="G16" s="6" t="n"/>
      <c r="H16" s="6" t="n"/>
    </row>
    <row r="17">
      <c r="A17" s="4" t="n">
        <v>13</v>
      </c>
      <c r="B17" s="4" t="inlineStr">
        <is>
          <t>Event Coordinator</t>
        </is>
      </c>
      <c r="C17" s="4" t="inlineStr">
        <is>
          <t>Turn on registration: capacity 100, measured against the main room booking, opening today and closing before the event. Then open Readiness and try to confirm the event.</t>
        </is>
      </c>
      <c r="D17" s="4" t="inlineStr">
        <is>
          <t>Readiness lists each venue booking separately, and the equipment, as done. Confirmation is refused and the Operational Safety Check is named as outstanding.</t>
        </is>
      </c>
      <c r="E17" s="4" t="inlineStr">
        <is>
          <t>SPM-33, 34, 64, 88</t>
        </is>
      </c>
      <c r="F17" s="6" t="n"/>
      <c r="G17" s="6" t="n"/>
      <c r="H17" s="6" t="n"/>
    </row>
    <row r="18">
      <c r="A18" s="4" t="n">
        <v>14</v>
      </c>
      <c r="B18" s="4" t="inlineStr">
        <is>
          <t>Event Coordinator</t>
        </is>
      </c>
      <c r="C18" s="4" t="inlineStr">
        <is>
          <t>Submit the event for a safety check.</t>
        </is>
      </c>
      <c r="D18" s="4" t="inlineStr">
        <is>
          <t>Status is Safety review, and Rachel sees it as well.</t>
        </is>
      </c>
      <c r="E18" s="4" t="inlineStr">
        <is>
          <t>SPM-86</t>
        </is>
      </c>
      <c r="F18" s="6" t="n"/>
      <c r="G18" s="6" t="n"/>
      <c r="H18" s="6" t="n"/>
    </row>
    <row r="19">
      <c r="A19" s="4" t="n">
        <v>15</v>
      </c>
      <c r="B19" s="4" t="inlineStr">
        <is>
          <t>Safety Officer
hana.yusof@connectsphere.com</t>
        </is>
      </c>
      <c r="C19" s="4" t="inlineStr">
        <is>
          <t>Safety Checks: open the event and request changes, describing what is needed.</t>
        </is>
      </c>
      <c r="D19" s="4" t="inlineStr">
        <is>
          <t>The sidebar shows only Dashboard, Safety Checks, All Events and Notifications. The review shows attendance, each venue with capacity and layout, and the equipment. Status returns to Planning.</t>
        </is>
      </c>
      <c r="E19" s="4" t="inlineStr">
        <is>
          <t>SPM-85, 87</t>
        </is>
      </c>
      <c r="F19" s="6" t="n"/>
      <c r="G19" s="6" t="n"/>
      <c r="H19" s="6" t="n"/>
    </row>
    <row r="20">
      <c r="A20" s="4" t="n">
        <v>16</v>
      </c>
      <c r="B20" s="4" t="inlineStr">
        <is>
          <t>Event Coordinator, then Event Organiser</t>
        </is>
      </c>
      <c r="C20" s="4" t="inlineStr">
        <is>
          <t>Coordinator: read the decision on the event, then submit it for a safety check again. Organiser: open the event.</t>
        </is>
      </c>
      <c r="D20" s="4" t="inlineStr">
        <is>
          <t>The coordinator sees the changes required. The organiser does not see the Safety Officer's reason. Status is Safety review again.</t>
        </is>
      </c>
      <c r="E20" s="4" t="inlineStr">
        <is>
          <t>SPM-86, 88</t>
        </is>
      </c>
      <c r="F20" s="6" t="n"/>
      <c r="G20" s="6" t="n"/>
      <c r="H20" s="6" t="n"/>
    </row>
    <row r="21">
      <c r="A21" s="4" t="n">
        <v>17</v>
      </c>
      <c r="B21" s="4" t="inlineStr">
        <is>
          <t>Safety Officer, then Event Coordinator</t>
        </is>
      </c>
      <c r="C21" s="4" t="inlineStr">
        <is>
          <t>Safety Officer: approve the event. Coordinator: confirm the event.</t>
        </is>
      </c>
      <c r="D21" s="4" t="inlineStr">
        <is>
          <t>Status is Safety approved, then Confirmed.</t>
        </is>
      </c>
      <c r="E21" s="4" t="inlineStr">
        <is>
          <t>SPM-34, 87, 88</t>
        </is>
      </c>
      <c r="F21" s="6" t="n"/>
      <c r="G21" s="6" t="n"/>
      <c r="H21" s="6" t="n"/>
    </row>
    <row r="22">
      <c r="A22" s="4" t="n">
        <v>18</v>
      </c>
      <c r="B22" s="4" t="inlineStr">
        <is>
          <t>Attendee
lee.wei.ming@example.com</t>
        </is>
      </c>
      <c r="C22" s="4" t="inlineStr">
        <is>
          <t>Browse Events: find the event and register. Open My Registrations. Then withdraw the registration.</t>
        </is>
      </c>
      <c r="D22" s="4" t="inlineStr">
        <is>
          <t>The registration shows Registered, then Withdrawn. The place is given back.</t>
        </is>
      </c>
      <c r="E22" s="4" t="inlineStr">
        <is>
          <t>SPM-51, 52</t>
        </is>
      </c>
      <c r="F22" s="6" t="n"/>
      <c r="G22" s="6" t="n"/>
      <c r="H22" s="6" t="n"/>
    </row>
    <row r="23">
      <c r="A23" s="4" t="n">
        <v>19</v>
      </c>
      <c r="B23" s="4" t="inlineStr">
        <is>
          <t>Event Organiser and Event Coordinator</t>
        </is>
      </c>
      <c r="C23" s="4" t="inlineStr">
        <is>
          <t>Each opens the event's Attendees tab.</t>
        </is>
      </c>
      <c r="D23" s="4" t="inlineStr">
        <is>
          <t>Lee Wei Ming is listed as Withdrawn, with the active count against the capacity of 100. Venue Staff and Technical Support cannot open the list.</t>
        </is>
      </c>
      <c r="E23" s="4" t="inlineStr">
        <is>
          <t>SPM-65</t>
        </is>
      </c>
      <c r="F23" s="6" t="n"/>
      <c r="G23" s="6" t="n"/>
      <c r="H23" s="6" t="n"/>
    </row>
    <row r="24">
      <c r="A24" s="4" t="n">
        <v>20</v>
      </c>
      <c r="B24" s="4" t="inlineStr">
        <is>
          <t>Every role</t>
        </is>
      </c>
      <c r="C24" s="4" t="inlineStr">
        <is>
          <t>Log in as each role in turn.</t>
        </is>
      </c>
      <c r="D24" s="4" t="inlineStr">
        <is>
          <t>Each role sees only its own sidebar links (organiser "My Events"; coordinator, Ops Manager and Safety Officer "All Events"), and the organiser sees only their own events.</t>
        </is>
      </c>
      <c r="E24" s="4" t="inlineStr">
        <is>
          <t>SPM-21, 22</t>
        </is>
      </c>
      <c r="F24" s="6" t="n"/>
      <c r="G24" s="6" t="n"/>
      <c r="H24" s="6" t="n"/>
    </row>
  </sheetData>
  <conditionalFormatting sqref="F5:F24">
    <cfRule type="cellIs" priority="1" operator="equal" dxfId="8">
      <formula>"Pass"</formula>
    </cfRule>
    <cfRule type="cellIs" priority="2" operator="equal" dxfId="9">
      <formula>"Fail"</formula>
    </cfRule>
  </conditionalFormatting>
  <dataValidations count="1">
    <dataValidation sqref="F5:F24" showDropDown="0" showInputMessage="0" showErrorMessage="0" allowBlank="1" type="list">
      <formula1>"Pass,Fail"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4.4"/>
  <cols>
    <col width="20" customWidth="1" style="18" min="1" max="1"/>
    <col width="30" customWidth="1" style="18" min="2" max="2"/>
    <col width="12" customWidth="1" style="18" min="3" max="3"/>
    <col width="14" customWidth="1" style="18" min="4" max="4"/>
    <col width="60" customWidth="1" style="18" min="5" max="5"/>
    <col width="28" customWidth="1" style="18" min="6" max="6"/>
    <col width="9" customWidth="1" style="18" min="7" max="7"/>
  </cols>
  <sheetData>
    <row r="1" ht="17.4" customHeight="1" s="18">
      <c r="A1" s="1" t="inlineStr">
        <is>
          <t>Sprint 3 regression: follow-ups</t>
        </is>
      </c>
    </row>
    <row r="2">
      <c r="A2" s="2" t="inlineStr">
        <is>
          <t>One row for each Fail (a bug) and each Changed by design or Blocked case (a test case to update).</t>
        </is>
      </c>
    </row>
    <row r="4" ht="30" customHeight="1" s="18">
      <c r="A4" s="14" t="inlineStr">
        <is>
          <t>Type</t>
        </is>
      </c>
      <c r="B4" s="14" t="inlineStr">
        <is>
          <t>Test case ID</t>
        </is>
      </c>
      <c r="C4" s="14" t="inlineStr">
        <is>
          <t>Jira key</t>
        </is>
      </c>
      <c r="D4" s="14" t="inlineStr">
        <is>
          <t>Owner</t>
        </is>
      </c>
      <c r="E4" s="14" t="inlineStr">
        <is>
          <t>What needs doing</t>
        </is>
      </c>
      <c r="F4" s="14" t="inlineStr">
        <is>
          <t>Decision (fix now / next sprint)</t>
        </is>
      </c>
      <c r="G4" s="14" t="inlineStr">
        <is>
          <t>Done?</t>
        </is>
      </c>
    </row>
    <row r="5">
      <c r="A5" s="6" t="inlineStr">
        <is>
          <t>Test case update</t>
        </is>
      </c>
      <c r="B5" s="6" t="inlineStr">
        <is>
          <t>SPM-33: TC01, TC02, TC03, TC04, TC05, TC07, TC08, TC09, TC10, TC11, TC12, TC13, TC14, TC17</t>
        </is>
      </c>
      <c r="C5" s="6" t="n"/>
      <c r="D5" s="6" t="inlineStr">
        <is>
          <t>Kristen</t>
        </is>
      </c>
      <c r="E5" s="6" t="inlineStr">
        <is>
          <t>Update these cases in docs/test-cases/SPM-33_test_cases.json and rebuild the workbook. See the 'Out-of-date cases' sheet for what changed.</t>
        </is>
      </c>
      <c r="F5" s="6" t="n"/>
      <c r="G5" s="6" t="n"/>
    </row>
    <row r="6">
      <c r="A6" s="6" t="inlineStr">
        <is>
          <t>Test case update</t>
        </is>
      </c>
      <c r="B6" s="6" t="inlineStr">
        <is>
          <t>SPM-34: TC01, TC02, TC03, TC04, TC05, TC06, TC07</t>
        </is>
      </c>
      <c r="C6" s="6" t="n"/>
      <c r="D6" s="6" t="inlineStr">
        <is>
          <t>Jordan</t>
        </is>
      </c>
      <c r="E6" s="6" t="inlineStr">
        <is>
          <t>Update these cases in docs/test-cases/SPM-34_test_cases.json and rebuild the workbook. See the 'Out-of-date cases' sheet for what changed.</t>
        </is>
      </c>
      <c r="F6" s="6" t="n"/>
      <c r="G6" s="6" t="n"/>
    </row>
    <row r="7">
      <c r="A7" s="6" t="inlineStr">
        <is>
          <t>Test case update</t>
        </is>
      </c>
      <c r="B7" s="6" t="inlineStr">
        <is>
          <t>SPM-40: TC10</t>
        </is>
      </c>
      <c r="C7" s="6" t="n"/>
      <c r="D7" s="6" t="inlineStr">
        <is>
          <t>Kayalvizhi</t>
        </is>
      </c>
      <c r="E7" s="6" t="inlineStr">
        <is>
          <t>Update these cases in docs/test-cases/SPM-40_test_cases.json and rebuild the workbook. See the 'Out-of-date cases' sheet for what changed.</t>
        </is>
      </c>
      <c r="F7" s="6" t="n"/>
      <c r="G7" s="6" t="n"/>
    </row>
    <row r="8">
      <c r="A8" s="6" t="inlineStr">
        <is>
          <t>Test case update</t>
        </is>
      </c>
      <c r="B8" s="6" t="inlineStr">
        <is>
          <t>SPM-42: TC01, TC03, TC04, TC05, TC06, TC07, TC08, TC09, TC11, TC14, TC15, TC16</t>
        </is>
      </c>
      <c r="C8" s="6" t="n"/>
      <c r="D8" s="6" t="inlineStr">
        <is>
          <t>Sammi</t>
        </is>
      </c>
      <c r="E8" s="6" t="inlineStr">
        <is>
          <t>Update these cases in docs/test-cases/SPM-42_test_cases.json and rebuild the workbook. See the 'Out-of-date cases' sheet for what changed.</t>
        </is>
      </c>
      <c r="F8" s="6" t="n"/>
      <c r="G8" s="6" t="n"/>
    </row>
    <row r="9">
      <c r="A9" s="6" t="inlineStr">
        <is>
          <t>Test case update</t>
        </is>
      </c>
      <c r="B9" s="6" t="inlineStr">
        <is>
          <t>SPM-43: TC01, TC02, TC03, TC04, TC05, TC06, TC07, TC08, TC09, TC10, TC12, TC13, TC14, TC15, TC16</t>
        </is>
      </c>
      <c r="C9" s="6" t="n"/>
      <c r="D9" s="6" t="inlineStr">
        <is>
          <t>Kayalvizhi</t>
        </is>
      </c>
      <c r="E9" s="6" t="inlineStr">
        <is>
          <t>Update these cases in docs/test-cases/SPM-43_test_cases.json and rebuild the workbook. See the 'Out-of-date cases' sheet for what changed.</t>
        </is>
      </c>
      <c r="F9" s="6" t="n"/>
      <c r="G9" s="6" t="n"/>
    </row>
    <row r="10">
      <c r="A10" s="6" t="inlineStr">
        <is>
          <t>Test case update</t>
        </is>
      </c>
      <c r="B10" s="6" t="inlineStr">
        <is>
          <t>SPM-44: TC01, TC02, TC03, TC04, TC05, TC06, TC07, TC08, TC09, TC10, TC11</t>
        </is>
      </c>
      <c r="C10" s="6" t="n"/>
      <c r="D10" s="6" t="inlineStr">
        <is>
          <t>Jordan</t>
        </is>
      </c>
      <c r="E10" s="6" t="inlineStr">
        <is>
          <t>Update these cases in docs/test-cases/SPM-44_test_cases.json and rebuild the workbook. See the 'Out-of-date cases' sheet for what changed.</t>
        </is>
      </c>
      <c r="F10" s="6" t="n"/>
      <c r="G10" s="6" t="n"/>
    </row>
    <row r="11">
      <c r="A11" s="6" t="inlineStr">
        <is>
          <t>Test case update</t>
        </is>
      </c>
      <c r="B11" s="6" t="inlineStr">
        <is>
          <t>SPM-46: TC01, TC05, TC06, TC07, TC08, TC09, TC12, TC13, TC14</t>
        </is>
      </c>
      <c r="C11" s="6" t="n"/>
      <c r="D11" s="6" t="inlineStr">
        <is>
          <t>Kayalvizhi</t>
        </is>
      </c>
      <c r="E11" s="6" t="inlineStr">
        <is>
          <t>Update these cases in docs/test-cases/SPM-46_test_cases.json and rebuild the workbook. See the 'Out-of-date cases' sheet for what changed.</t>
        </is>
      </c>
      <c r="F11" s="6" t="n"/>
      <c r="G11" s="6" t="n"/>
    </row>
    <row r="12">
      <c r="A12" s="6" t="inlineStr">
        <is>
          <t>Test case update</t>
        </is>
      </c>
      <c r="B12" s="6" t="inlineStr">
        <is>
          <t>SPM-54: TC04, TC14</t>
        </is>
      </c>
      <c r="C12" s="6" t="n"/>
      <c r="D12" s="6" t="inlineStr">
        <is>
          <t>Kristen</t>
        </is>
      </c>
      <c r="E12" s="6" t="inlineStr">
        <is>
          <t>Update these cases in docs/test-cases/SPM-54_test_cases.json and rebuild the workbook. See the 'Out-of-date cases' sheet for what changed.</t>
        </is>
      </c>
      <c r="F12" s="6" t="n"/>
      <c r="G12" s="6" t="n"/>
    </row>
    <row r="13">
      <c r="A13" s="6" t="inlineStr">
        <is>
          <t>Test case update</t>
        </is>
      </c>
      <c r="B13" s="6" t="inlineStr">
        <is>
          <t>SPM-64: TC16, TC17, TC18</t>
        </is>
      </c>
      <c r="C13" s="6" t="n"/>
      <c r="D13" s="6" t="inlineStr">
        <is>
          <t>Sammi</t>
        </is>
      </c>
      <c r="E13" s="6" t="inlineStr">
        <is>
          <t>Update these cases in docs/test-cases/SPM-64_test_cases.json and rebuild the workbook. See the 'Out-of-date cases' sheet for what changed.</t>
        </is>
      </c>
      <c r="F13" s="6" t="n"/>
      <c r="G13" s="6" t="n"/>
    </row>
    <row r="14">
      <c r="A14" s="6" t="inlineStr">
        <is>
          <t>Test case update</t>
        </is>
      </c>
      <c r="B14" s="6" t="inlineStr">
        <is>
          <t>SPM-67: TC05, TC06</t>
        </is>
      </c>
      <c r="C14" s="6" t="n"/>
      <c r="D14" s="6" t="inlineStr">
        <is>
          <t>Kayalvizhi</t>
        </is>
      </c>
      <c r="E14" s="6" t="inlineStr">
        <is>
          <t>Update these cases in docs/test-cases/SPM-67_test_cases.json and rebuild the workbook. See the 'Out-of-date cases' sheet for what changed.</t>
        </is>
      </c>
      <c r="F14" s="6" t="n"/>
      <c r="G14" s="6" t="n"/>
    </row>
    <row r="15">
      <c r="A15" s="6" t="inlineStr">
        <is>
          <t>Test case update</t>
        </is>
      </c>
      <c r="B15" s="6" t="inlineStr">
        <is>
          <t>SPM-68: TC05, TC12, TC14</t>
        </is>
      </c>
      <c r="C15" s="6" t="n"/>
      <c r="D15" s="6" t="inlineStr">
        <is>
          <t>Kristen</t>
        </is>
      </c>
      <c r="E15" s="6" t="inlineStr">
        <is>
          <t>Update these cases in docs/test-cases/SPM-68_test_cases.json and rebuild the workbook. See the 'Out-of-date cases' sheet for what changed.</t>
        </is>
      </c>
      <c r="F15" s="6" t="n"/>
      <c r="G15" s="6" t="n"/>
    </row>
    <row r="16">
      <c r="A16" s="6" t="inlineStr">
        <is>
          <t>Test case update</t>
        </is>
      </c>
      <c r="B16" s="6" t="inlineStr">
        <is>
          <t>SPM-82: TC08</t>
        </is>
      </c>
      <c r="C16" s="6" t="n"/>
      <c r="D16" s="6" t="inlineStr">
        <is>
          <t>Jordan</t>
        </is>
      </c>
      <c r="E16" s="6" t="inlineStr">
        <is>
          <t>Update these cases in docs/test-cases/SPM-82_test_cases.json and rebuild the workbook. See the 'Out-of-date cases' sheet for what changed.</t>
        </is>
      </c>
      <c r="F16" s="6" t="n"/>
      <c r="G16" s="6" t="n"/>
    </row>
    <row r="17">
      <c r="A17" s="6" t="inlineStr">
        <is>
          <t>Test case update</t>
        </is>
      </c>
      <c r="B17" s="6" t="inlineStr">
        <is>
          <t>SPM-90: TC08, TC09, TC10</t>
        </is>
      </c>
      <c r="C17" s="6" t="n"/>
      <c r="D17" s="6" t="inlineStr">
        <is>
          <t>Kayalvizhi</t>
        </is>
      </c>
      <c r="E17" s="6" t="inlineStr">
        <is>
          <t>Update these cases in docs/test-cases/SPM-90_test_cases.json and rebuild the workbook. See the 'Out-of-date cases' sheet for what changed.</t>
        </is>
      </c>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3">
      <c r="A23" s="6" t="n"/>
      <c r="B23" s="6" t="n"/>
      <c r="C23" s="6" t="n"/>
      <c r="D23" s="6" t="n"/>
      <c r="E23" s="6" t="n"/>
      <c r="F23" s="6" t="n"/>
      <c r="G23" s="6" t="n"/>
    </row>
    <row r="24">
      <c r="A24" s="6" t="n"/>
      <c r="B24" s="6" t="n"/>
      <c r="C24" s="6" t="n"/>
      <c r="D24" s="6" t="n"/>
      <c r="E24" s="6" t="n"/>
      <c r="F24" s="6" t="n"/>
      <c r="G24" s="6" t="n"/>
    </row>
  </sheetData>
  <dataValidations count="2">
    <dataValidation sqref="A5:A24" showDropDown="0" showInputMessage="0" showErrorMessage="0" allowBlank="1" type="list">
      <formula1>"Bug,Test case update"</formula1>
    </dataValidation>
    <dataValidation sqref="G5:G24"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2026-10-02T09:25:17Z</dcterms:created>
  <dcterms:modified xsi:type="dcterms:W3CDTF">2026-10-16T08:41:30Z</dcterms:modified>
  <cp:lastModifiedBy>Kristen CHOONG Hui Qi</cp:lastModifiedBy>
</cp:coreProperties>
</file>