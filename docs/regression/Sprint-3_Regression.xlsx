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Smoke run" sheetId="2" r:id="rId5"/>
    <sheet state="visible" name="Kayalvizhi" sheetId="3" r:id="rId6"/>
    <sheet state="visible" name="Jordan" sheetId="4" r:id="rId7"/>
    <sheet state="visible" name="Janelle" sheetId="5" r:id="rId8"/>
    <sheet state="visible" name="Sammi" sheetId="6" r:id="rId9"/>
    <sheet state="visible" name="Kristen" sheetId="7" r:id="rId10"/>
    <sheet state="visible" name="Out-of-date cases" sheetId="8" r:id="rId11"/>
    <sheet state="visible" name="Scope" sheetId="9" r:id="rId12"/>
  </sheets>
  <definedNames>
    <definedName hidden="1" localSheetId="7" name="_xlnm._FilterDatabase">'Out-of-date cases'!$A$4:$J$87</definedName>
  </definedNames>
  <calcPr/>
  <extLst>
    <ext uri="GoogleSheetsCustomDataVersion2">
      <go:sheetsCustomData xmlns:go="http://customooxmlschemas.google.com/" r:id="rId13" roundtripDataChecksum="3QRtXsHVdLhtNZxf+jDDHmVQy4mgpibqYETk/VWw+C8="/>
    </ext>
  </extLst>
</workbook>
</file>

<file path=xl/sharedStrings.xml><?xml version="1.0" encoding="utf-8"?>
<sst xmlns="http://schemas.openxmlformats.org/spreadsheetml/2006/main" count="2829" uniqueCount="1634">
  <si>
    <t>Sprint 3 regression: smoke run</t>
  </si>
  <si>
    <t>Kayalvizhi's cases: Accounts, event requests and event information</t>
  </si>
  <si>
    <t>Sprint 3 regression test</t>
  </si>
  <si>
    <t>Jordan's cases: Review, planning, readiness and registration</t>
  </si>
  <si>
    <t>A relay on a call, before splitting up: each person stays logged in as their role(s) on their own laptop and does their steps when the event reaches them, in order. Take one new event, titled 'REG S3 Smoke', through the sprint goal end to end - do not use any story's fixture events. Password for every account: password123. Use an event date about 4 weeks ahead, with times on the quarter hour (e.g. 10:00-12:00). Change 'Who' if you swap roles.</t>
  </si>
  <si>
    <t>Process: docs/REGRESSION_TESTING.md. Yellow cells are for you to fill in; everything else is pre-filled or calculated.</t>
  </si>
  <si>
    <t>Run top to bottom. A blue row starts each story: run its fixture script first (never npx prisma db seed). Follow the steps and compare with the expected results, then choose a Result and fill in the yellow cells. IDs ending in -R were rewritten for this run because the story's own test case is out of date.</t>
  </si>
  <si>
    <t>Sprint</t>
  </si>
  <si>
    <t>Step</t>
  </si>
  <si>
    <t>#</t>
  </si>
  <si>
    <t>Who</t>
  </si>
  <si>
    <t>Role (log in as)</t>
  </si>
  <si>
    <t>What to do</t>
  </si>
  <si>
    <t>Check</t>
  </si>
  <si>
    <t>Stories</t>
  </si>
  <si>
    <t>Test case ID</t>
  </si>
  <si>
    <t>Result</t>
  </si>
  <si>
    <t>Date tested</t>
  </si>
  <si>
    <t>Notes</t>
  </si>
  <si>
    <t>Title</t>
  </si>
  <si>
    <t>Linked AC</t>
  </si>
  <si>
    <t>Type</t>
  </si>
  <si>
    <t>Preconditions</t>
  </si>
  <si>
    <t>Test data</t>
  </si>
  <si>
    <t>Steps</t>
  </si>
  <si>
    <t>Tested by</t>
  </si>
  <si>
    <t>Expected results</t>
  </si>
  <si>
    <t>Commit tested (main)</t>
  </si>
  <si>
    <t>git rev-parse --short HEAD</t>
  </si>
  <si>
    <t>Notes / bug key</t>
  </si>
  <si>
    <t>Baseline</t>
  </si>
  <si>
    <t>Kristen</t>
  </si>
  <si>
    <t>a5730c5 (last commit on main before Sprint 3 started, 4 Oct 2026)</t>
  </si>
  <si>
    <t>Event Organiser
rachel.ng@meridianfina.com</t>
  </si>
  <si>
    <t>SPM-21  User Login  -  uses the base seed data (no fixture script)</t>
  </si>
  <si>
    <t>Create an event request with expected attendance 120. Save it as a draft, reopen it from My Events and submit it.</t>
  </si>
  <si>
    <t>SPM-28  Review Event Request  -  run npm run fixtures:spm28 before its first case</t>
  </si>
  <si>
    <t>Status is Submitted. My Events lists only Rachel's own events.</t>
  </si>
  <si>
    <t>SPM-23, 24, 25, 31</t>
  </si>
  <si>
    <t>Automated checks</t>
  </si>
  <si>
    <t>Run by</t>
  </si>
  <si>
    <t>Pass</t>
  </si>
  <si>
    <t>Event Operations Manager
grace.lim@connectsphere.com</t>
  </si>
  <si>
    <t>Assignments: assign Daniel Tan to the event.</t>
  </si>
  <si>
    <t>Status is Under review. Rachel sees Daniel Tan as the coordinator.</t>
  </si>
  <si>
    <t>SPM-30</t>
  </si>
  <si>
    <t>Jordan</t>
  </si>
  <si>
    <t>Event Coordinator
daniel.tan@connectsphere.com</t>
  </si>
  <si>
    <t>Review Queue: open the event, approve it, then begin planning.</t>
  </si>
  <si>
    <t>Status is Planning.</t>
  </si>
  <si>
    <t>SPM-28, 54</t>
  </si>
  <si>
    <t>CI is green on main for the commit tested</t>
  </si>
  <si>
    <t>SPM-28-TC01</t>
  </si>
  <si>
    <t>Event Coordinator</t>
  </si>
  <si>
    <t>SPM-21-TC01</t>
  </si>
  <si>
    <t>Update the event information with an ordinary edit (e.g. the description only).</t>
  </si>
  <si>
    <t>GitHub Actions tab: lint, type-check, unit tests, test cases, build, migrations, end-to-end.</t>
  </si>
  <si>
    <t>The change is saved. No arrangement is flagged and the status stays Planning.</t>
  </si>
  <si>
    <t>Valid credentials sign the user in and open the dashboard</t>
  </si>
  <si>
    <t>SPM-62</t>
  </si>
  <si>
    <t>AC1</t>
  </si>
  <si>
    <t>Positive</t>
  </si>
  <si>
    <t>Demo data is seeded. No one is signed in. On the "Log in" page.</t>
  </si>
  <si>
    <t>Review Queue lists only the Under review events assigned to the logged-in coordinator</t>
  </si>
  <si>
    <t>Email: daniel.tan@connectsphere.com; Password: password123</t>
  </si>
  <si>
    <t>1. Enter "daniel.tan@connectsphere.com" into Email
2. Enter "password123" into Password
3. Click "Log in"</t>
  </si>
  <si>
    <t>Venue tab: request two venues for the same times: a main room (purpose "Main programme", 120 people) and a breakout room (purpose "Breakout", 40 people), each with its own layout.</t>
  </si>
  <si>
    <t>The button shows "Logging in…" while the request is in flight.
The browser moves to the Dashboard, headed "Welcome, Daniel Tan" with "Event Coordinator" beneath it, and the top bar shows the same role under the name.
No error message is shown.</t>
  </si>
  <si>
    <t>Both bookings show on the event as Pending, each with its own venue, purpose, times and hold expiry. Each venue was checked against its own attendance and layout.</t>
  </si>
  <si>
    <t>npm run verify:permissions</t>
  </si>
  <si>
    <t>Test data loaded: `npm run fixtures:spm28` has been run from the project folder since the last full `npx prisma db seed` (it only touches the 'SPM28 …' events, EVT-000124 to EVT-000130, never anyone else's data).
Logged in as Daniel Tan (daniel.tan@connectsphere.com / password123), Event Coordinator.</t>
  </si>
  <si>
    <t>SPM-40, 41, 42, 44, 81, 82, 90, 93</t>
  </si>
  <si>
    <t>Must appear (Under review, coordinator Daniel Tan): SPM28 Nusantara Product Launch (EVT-000124), SPM28 Harbourline Client Seminar (EVT-000125) | Must not appear: SPM28 Kirana Regional Offsite (EVT-000126, coordinator Priya Raj), SPM28 Straits Journal Club (EVT-000127, coordinator Joel Fernandez)</t>
  </si>
  <si>
    <t>1. Click 'Review Queue' in the sidebar</t>
  </si>
  <si>
    <t>Step 1: The Review Queue page lists 'SPM28 Nusantara Product Launch' (client 'Nusantara Tech Labs', 17 Mar 2027, 'Under review' badge) and 'SPM28 Harbourline Client Seminar'. Other Under review events assigned to Daniel Tan may also appear; only the SPM28 events are checked here. 'SPM28 Kirana Regional Offsite' and 'SPM28 Straits Journal Club' are not listed.</t>
  </si>
  <si>
    <t>Equipment tab: record one equipment requirement.</t>
  </si>
  <si>
    <t>Sammi</t>
  </si>
  <si>
    <t>The requirement is saved and shows as Requested.</t>
  </si>
  <si>
    <t>With npm run dev running in a second terminal.</t>
  </si>
  <si>
    <t>SPM-47</t>
  </si>
  <si>
    <t>Kayalvizhi</t>
  </si>
  <si>
    <t>Technical Support Staff
kenji.sato@connectsphere.com</t>
  </si>
  <si>
    <t>Equipment Requests: open the event's request, check availability and reserve it. Then mark one unrelated equipment item under maintenance and return it to available.</t>
  </si>
  <si>
    <t>The request shows Reserved. The item's status changes and changes back.</t>
  </si>
  <si>
    <t>SPM-48, 49, 50, 55</t>
  </si>
  <si>
    <t>npm run verify:login</t>
  </si>
  <si>
    <t>Venue Staff
marcus.wong@connectsphere.com</t>
  </si>
  <si>
    <t>SPM-21-TC12</t>
  </si>
  <si>
    <t>Booking Requests: approve both of the event's requests.</t>
  </si>
  <si>
    <t>The signed-in user's role is named on the dashboard</t>
  </si>
  <si>
    <t>Each request shows its purpose, the requested times and the room in use including setup and turnaround. Both bookings are Approved.</t>
  </si>
  <si>
    <t>AC3</t>
  </si>
  <si>
    <t>SPM-43, 90, 93</t>
  </si>
  <si>
    <t>SPM-28-TC05</t>
  </si>
  <si>
    <t>Demo data is seeded. No one is signed in.</t>
  </si>
  <si>
    <t>Review page displays all requirements of the request</t>
  </si>
  <si>
    <t>AC2</t>
  </si>
  <si>
    <t>Accounts: daniel.tan@connectsphere.com (Coordinator), marcus.wong@connectsphere.com (Venue Staff); Password: password123</t>
  </si>
  <si>
    <t>Results</t>
  </si>
  <si>
    <t>1. Log in as daniel.tan@connectsphere.com with password123
2. Read the subtitle under the welcome heading
3. Log out, then log in as marcus.wong@connectsphere.com with password123
4. Read the subtitle under the welcome heading again</t>
  </si>
  <si>
    <t>Venue Staff</t>
  </si>
  <si>
    <t>Cases</t>
  </si>
  <si>
    <t>Daniel Tan's dashboard is headed "Welcome, Daniel Tan", subtitled "Event Coordinator" and the section heading reads "Awaiting your review".
Marcus Wong's dashboard is headed "Welcome, Marcus Wong", subtitled "Venue Staff" and the section heading reads "Upcoming events".</t>
  </si>
  <si>
    <t>Venues: mark the breakout room unavailable for a period that covers the event's times, with a reason.</t>
  </si>
  <si>
    <t>Fail</t>
  </si>
  <si>
    <t>The unavailable period shows on the venue's availability calendar.</t>
  </si>
  <si>
    <t>Event: SPM28 Nusantara Product Launch (EVT-000124) | Client: Nusantara Tech Labs | Organiser: Sari Widodo | Category: Exhibition | Purpose: Regional product launch and press event | Description: Press event with livestream and product demonstration area. | When: 17 Mar 2027, 15:00–19:00 | Expected attendance: 200 | Preferred layout: Theatre | Registration: Not enabled | Facilities: High-density WiFi (required), Raised stage (required), Livestream capability (required), Green room (nice-to-have) | Equipment: LED Video Wall Panel × 4, Streaming Encoder × 1 | Accessibility needs and Special requirements: left empty by the organiser</t>
  </si>
  <si>
    <t>Changed by design</t>
  </si>
  <si>
    <t>SPM-45, 46</t>
  </si>
  <si>
    <t>1. Click 'Review Queue' in the sidebar
2. Click 'SPM28 Nusantara Product Launch'</t>
  </si>
  <si>
    <t>Blocked</t>
  </si>
  <si>
    <t>SPM-22  Role-Based Access - UI Verification  -  uses the base seed data (no fixture script)</t>
  </si>
  <si>
    <t>Step 1: The Review Queue page opens and lists 'SPM28 Nusantara Product Launch'.
Step 2: The 'Review request' page opens, with 'SPM28 Nusantara Product Launch' under the title and the 'Under review' badge. The 'What was requested' card shows every value in the test data next to its label, each facility followed by '(required)' or '(nice-to-have)', and each equipment item as 'name × quantity'. Accessibility needs and Special requirements show a 'Not provided' marker. No raw stored values (e.g. 'under_review', 'theatre') are shown.</t>
  </si>
  <si>
    <t>Not run yet</t>
  </si>
  <si>
    <t>Kayalvizhi - Accounts, event requests and event information</t>
  </si>
  <si>
    <t>Check Notifications, then open Flagged Arrangements.</t>
  </si>
  <si>
    <t>The unread count is shown and a notification about the breakout room links to the event. Only the breakout booking is flagged, with the reason; the main room booking is unchanged.</t>
  </si>
  <si>
    <t>SPM-45, 68, 71, 81</t>
  </si>
  <si>
    <t>SPM-22-TC01</t>
  </si>
  <si>
    <t>An Attendee's sidebar offers only the Attendee screens</t>
  </si>
  <si>
    <t>SPM-28-TC06</t>
  </si>
  <si>
    <t>Missing information is clearly flagged on the review page</t>
  </si>
  <si>
    <t>Demo data is seeded. Logged in as Daniel Lim (daniel.lim@example.com / password123), an Attendee.</t>
  </si>
  <si>
    <t>Account: daniel.lim@example.com (Attendee)</t>
  </si>
  <si>
    <t>1. Read every item in the left sidebar from top to bottom</t>
  </si>
  <si>
    <t>The sidebar reads exactly: Dashboard, Browse Events, My Registrations, Notifications.
Review Queue, Venues, Equipment, Booking Requests and Assignments do not appear anywhere in the sidebar.</t>
  </si>
  <si>
    <t>Test data loaded: `npm run fixtures:spm28` has been run from the project folder since the last full `npx prisma db seed` (it only touches the 'SPM28 …' events, EVT-000124 to EVT-000130, never anyone else's data).
Logged in as Joel Fernandez (joel.fernandez@connectsphere.com / password123), Event Coordinator assigned to 'SPM28 Straits Journal Club' (Under review).
The request has no description, accessibility needs, special requirements, facilities or equipment.</t>
  </si>
  <si>
    <t>Event: SPM28 Straits Journal Club (EVT-000127) | Empty: Description, Accessibility needs, Special requirements, Facilities, Equipment | Filled: Purpose 'Monthly journal club', Expected attendance 30, Layout Boardroom</t>
  </si>
  <si>
    <t>From the flagged booking, search for a replacement venue, request it, then release the flagged booking with a reason.</t>
  </si>
  <si>
    <t>1. Click 'Review Queue' in the sidebar
2. Click 'SPM28 Straits Journal Club'</t>
  </si>
  <si>
    <t>The search is pre-filled from the flagged booking. The old booking shows Released and stays on the event. The event's own information and status do not change.</t>
  </si>
  <si>
    <t>Step 1: The Review Queue page opens and lists 'SPM28 Straits Journal Club'.
Step 2: A yellow alert 'Some information was not provided' lists 'Description, Accessibility needs, Special requirements, Facilities, Equipment'. In 'What was requested', each of those rows shows a 'Not provided' marker (not blank or hidden). Purpose shows 'Monthly journal club', Expected attendance shows 30 and Preferred layout shows 'Boardroom'.</t>
  </si>
  <si>
    <t>SPM-22-TC04</t>
  </si>
  <si>
    <t>An Attendee opening an event sees only the Overview tab</t>
  </si>
  <si>
    <t>SPM-67, 68</t>
  </si>
  <si>
    <t>Logged in as Daniel Lim (daniel.lim@example.com / password123), an Attendee. At least one confirmed event that is open for registration exists.</t>
  </si>
  <si>
    <t>1. Open the events list from the sidebar
2. Open the first event in the list
3. Read the row of tabs beneath the event title</t>
  </si>
  <si>
    <t>SPM-28-TC08</t>
  </si>
  <si>
    <t>Only an Overview tab is shown.
No Equipment, Venue, Discussion, Attendees, Readiness or History tab appears — not even greyed out.</t>
  </si>
  <si>
    <t>Coordinator approves a request for planning</t>
  </si>
  <si>
    <t>AC4, AC6</t>
  </si>
  <si>
    <t>Test data loaded: `npm run fixtures:spm28` has been run from the project folder since the last full `npx prisma db seed` (it only touches the 'SPM28 …' events, EVT-000124 to EVT-000130, never anyone else's data).
Before: run `npm run fixtures:spm28` so 'SPM28 Harbourline Client Seminar' is back to Under review.
Logged in as Daniel Tan (daniel.tan@connectsphere.com / password123), coordinator of 'SPM28 Harbourline Client Seminar' (Under review).
After: run `npm run fixtures:spm28` so the next tester starts from the same state. It deletes and recreates only the 'SPM28 …' events - do NOT run `npx prisma db seed`, which wipes everyone's data.</t>
  </si>
  <si>
    <t>SPM-22-TC17</t>
  </si>
  <si>
    <t>Internal planning fields are absent from an Attendee's view of an event</t>
  </si>
  <si>
    <t>Event: SPM28 Harbourline Client Seminar (EVT-000125) | Outcome: Approve</t>
  </si>
  <si>
    <t>AC5</t>
  </si>
  <si>
    <t>Approve the replacement booking request.</t>
  </si>
  <si>
    <t>1. Click 'Review Queue' in the sidebar
2. Click 'SPM28 Harbourline Client Seminar'
3. Select 'Approve — planning can start'
4. Click 'Approve request'
5. Click 'Approve' in the dialog
6. Click 'Review Queue' in the sidebar
7. Click 'All Events' in the sidebar and open 'SPM28 Harbourline Client Seminar'</t>
  </si>
  <si>
    <t>The replacement booking is Approved. The released booking's time is free on its venue's calendar.</t>
  </si>
  <si>
    <t>Step 2: The 'Review request' page opens with the 'Under review' badge.
Step 3: The option is highlighted and an 'Approve request' button is shown.
Step 4: A dialog 'Approve this request?' appears, saying the event moves from Under review to Approved. The status has not changed yet.
Step 5: A green 'Request approved' alert reads '"SPM28 Harbourline Client Seminar" is now Approved. Planning can start.' The status badge changes from 'Under review' to 'Approved' and the 'Your decision' card disappears.
Step 6: 'SPM28 Harbourline Client Seminar' is no longer listed.
Step 7: The event page shows the 'Approved' status badge, and no 'This request is waiting for your review' alert.</t>
  </si>
  <si>
    <t>Logged in as Daniel Lim (daniel.lim@example.com / password123), an Attendee. A confirmed event that is open for registration exists and has a coordinator assigned, an expected attendance and special requirements recorded.</t>
  </si>
  <si>
    <t>SPM-43, 67</t>
  </si>
  <si>
    <t>1. Open the events list from the sidebar
2. Open the first event in the list
3. Read every label and value shown on the page from top to bottom</t>
  </si>
  <si>
    <t>The page shows the event's title, description, category, dates and status, and what is needed to register.
There is no Coordinator row, no Organiser row, no Expected attendance row, no Special requirements row, no Rejection reason row and no venue or equipment arrangements.
Those labels are absent entirely — the page does not show them with an empty value or a dash.</t>
  </si>
  <si>
    <t>SPM-28-TC10</t>
  </si>
  <si>
    <t>Coordinator rejects a request with a reason</t>
  </si>
  <si>
    <t>AC5, AC6</t>
  </si>
  <si>
    <t>SPM-22-TC19</t>
  </si>
  <si>
    <t>Run before SPM-28-TC11, which continues from this case.
Test data loaded: `npm run fixtures:spm28` has been run from the project folder since the last full `npx prisma db seed` (it only touches the 'SPM28 …' events, EVT-000124 to EVT-000130, never anyone else's data).
Before: run `npm run fixtures:spm28` so 'SPM28 Kirana Regional Offsite' is back to Under review.
Logged in as Priya Raj (priya.raj@connectsphere.com / password123), Event Coordinator assigned to 'SPM28 Kirana Regional Offsite' (Under review).
After: if you are running SPM-28-TC11 next, go straight to it - it needs this rejection. Otherwise run `npm run fixtures:spm28` so the next tester starts from the same state (never `npx prisma db seed`, which wipes everyone's data).</t>
  </si>
  <si>
    <t>The Operations Manager's navigation matches their permissions</t>
  </si>
  <si>
    <t>Event: SPM28 Kirana Regional Offsite (EVT-000126) | Reason for rejection: Headcount was not confirmed after two reminders; please resubmit once numbers are final.</t>
  </si>
  <si>
    <t>AC6</t>
  </si>
  <si>
    <t>Turn on registration: capacity 100, measured against the main room booking, opening today and closing before the event. Then open Readiness and try to confirm the event.</t>
  </si>
  <si>
    <t>1. Click 'Review Queue' in the sidebar
2. Click 'SPM28 Kirana Regional Offsite'
3. Select 'Reject this request'
4. Type the reason into 'Reason for rejection'
5. Click 'Reject request'
6. Click 'Review Queue' in the sidebar</t>
  </si>
  <si>
    <t>Logged in as Grace Lim (grace.lim@connectsphere.com / password123), an Operations Manager.</t>
  </si>
  <si>
    <t>Readiness lists each venue booking separately, and the equipment, as done. Confirmation is refused and the Operational Safety Check is named as outstanding.</t>
  </si>
  <si>
    <t>Step 2: The 'Review request' page opens with the 'Under review' badge.
Step 3: The 'Reason for rejection' field (marked required) and the 'Reject request' and 'Cancel' buttons appear.
Step 5: A green 'Request rejected' alert reads '"SPM28 Kirana Regional Offsite" is now Rejected. The organiser can see your reason on the event.' followed by 'Reason:' and the reason exactly as typed. The status badge changes from 'Under review' to 'Rejected'.
Step 6: 'SPM28 Kirana Regional Offsite' is no longer listed.</t>
  </si>
  <si>
    <t>Account: grace.lim@connectsphere.com (Operations Manager)</t>
  </si>
  <si>
    <t>SPM-33, 34, 64, 88</t>
  </si>
  <si>
    <t>1. Read every item in the left sidebar from top to bottom
2. Read the role shown beneath the name in the top bar</t>
  </si>
  <si>
    <t>The sidebar reads exactly: Dashboard, Assignments, All Events, Notifications.
The top bar shows Grace Lim with 'Operations Manager' beneath the name.
Review Queue, Venues, Equipment and Booking Requests do not appear, because assigning coordinators and overseeing events is what this role does.</t>
  </si>
  <si>
    <t>SPM-28-TC11</t>
  </si>
  <si>
    <t>Organiser sees the Rejected status and the reason</t>
  </si>
  <si>
    <t>Sidebar also shows Venues. Added on purpose by SPM-46 (Ops Manager has read-only venue access). Rest matches.</t>
  </si>
  <si>
    <t>Run straight after SPM-28-TC10 - do not reset the fixtures in between.
SPM-28-TC10 has just been run ('SPM28 Kirana Regional Offsite' rejected by Priya Raj).
Logged in as Faridah Aziz (faridah.aziz@kiranaretail.com / password123), Event Organiser of 'SPM28 Kirana Regional Offsite'.
After: run `npm run fixtures:spm28` so the next tester starts from the same state. It deletes and recreates only the 'SPM28 …' events - do NOT run `npx prisma db seed`, which wipes everyone's data.</t>
  </si>
  <si>
    <t>SPM-23  Create Event Request  -  uses the base seed data (no fixture script)</t>
  </si>
  <si>
    <t>Expected reason: Headcount was not confirmed after two reminders; please resubmit once numbers are final.</t>
  </si>
  <si>
    <t>1. Click 'My Events' in the sidebar
2. Click 'SPM28 Kirana Regional Offsite'</t>
  </si>
  <si>
    <t>Submit the event for a safety check.</t>
  </si>
  <si>
    <t>Step 1: 'SPM28 Kirana Regional Offsite' is listed with the 'Rejected' badge.
Step 2: A red alert banner at the top of the Overview reads 'This request was rejected' followed by the reason exactly as Priya Raj typed it.</t>
  </si>
  <si>
    <t>Status is Safety review, and Rachel sees it as well.</t>
  </si>
  <si>
    <t>SPM-86</t>
  </si>
  <si>
    <t>SPM-23-TC01</t>
  </si>
  <si>
    <t>SPM-30  Assign Event Coordinator  -  run npm run fixtures:spm30 before its first case</t>
  </si>
  <si>
    <t>Organiser can enter an event name and purpose</t>
  </si>
  <si>
    <t>Janelle</t>
  </si>
  <si>
    <t>Safety Officer
hana.yusof@connectsphere.com</t>
  </si>
  <si>
    <t>Logged in as rachel.ng@meridianfina.com / password123 (a seeded Event Organiser). Use your own initials in place of "KC" in every event name below so your drafts never clash with another tester's. On the "New event request" page.</t>
  </si>
  <si>
    <t>Safety Checks: open the event and request changes, describing what is needed.</t>
  </si>
  <si>
    <t>Event name: Nusantara Product Launch 2026 - KC; Purpose: Regional product launch and press event</t>
  </si>
  <si>
    <t>The sidebar shows only Dashboard, Safety Checks, All Events and Notifications. The review shows attendance, each venue with capacity and layout, and the equipment. Status returns to Planning.</t>
  </si>
  <si>
    <t>SPM-85, 87</t>
  </si>
  <si>
    <t>SPM-30-TC08</t>
  </si>
  <si>
    <t>1. Enter "Nusantara Product Launch 2026 - KC" into Event name
2. Enter "Regional product launch and press event" into Purpose
3. Click "Save draft"</t>
  </si>
  <si>
    <t>Sammi, then Kristen</t>
  </si>
  <si>
    <t>Ops Manager assigns a coordinator; it is recorded and the event moves to Under review</t>
  </si>
  <si>
    <t>The browser returns to "My events".
The new draft appears with the title "Nusantara Product Launch 2026 - KC". Reopening it shows Purpose still filled in as "Regional product launch and press event".</t>
  </si>
  <si>
    <t>Event Coordinator, then Event Organiser</t>
  </si>
  <si>
    <t>AC1, AC2, AC3</t>
  </si>
  <si>
    <t>Coordinator: read the decision on the event, then submit it for a safety check again. Organiser: open the event.</t>
  </si>
  <si>
    <t>The coordinator sees the changes required. The organiser does not see the Safety Officer's reason. Status is Safety review again.</t>
  </si>
  <si>
    <t>Run before SPM-30-TC09, which continues from this case.
Test data loaded: run `npm run fixtures:spm30` from the project folder if it has not been run for this test pass.
'SPM30 Nusantara Developer Meetup' (organiser Budi Santoso, Nusantara Tech Labs) is Submitted with no coordinator.
Logged in as Grace Lim (grace.lim@connectsphere.com / password123).
Data reset: Changes data (assigns the event). TC09 and TC10 continue from this result, so reset only after TC10: run `npm run fixtures:spm30` from the project folder.</t>
  </si>
  <si>
    <t>SPM-86, 88</t>
  </si>
  <si>
    <t>SPM-23-TC03</t>
  </si>
  <si>
    <t>Event: SPM30 Nusantara Developer Meetup | Coordinator: Daniel Tan</t>
  </si>
  <si>
    <t>Organiser can enter and save an event description</t>
  </si>
  <si>
    <t>1. Click 'Assignments' in the sidebar
2. In the 'Assign to' dropdown for 'SPM30 Nusantara Developer Meetup', choose 'Daniel Tan'
3. Click 'Assign'
4. Click 'All Events' and open 'SPM30 Nusantara Developer Meetup'
5. Reload the page</t>
  </si>
  <si>
    <t>The message 'Daniel Tan is now the coordinator for "SPM30 Nusantara Developer Meetup". It has moved to Under review.' is shown.
'SPM30 Nusantara Developer Meetup' disappears from the 'Awaiting assignment' list.
After reloading the event page, the status badge shows 'Under review' (previously 'Submitted') and the 'Details' card shows Coordinator 'Daniel Tan'.</t>
  </si>
  <si>
    <t>Logged in as rachel.ng@meridianfina.com / password123 (a seeded Event Organiser). Use your own initials in place of "KC" in every event name below so your drafts never clash with another tester's, on the "New event request" page.</t>
  </si>
  <si>
    <t>Janelle, then Sammi</t>
  </si>
  <si>
    <t>Description: Press event with livestream and product demonstration area.</t>
  </si>
  <si>
    <t>Safety Officer, then Event Coordinator</t>
  </si>
  <si>
    <t>1. Enter "Nusantara Product Launch 2026 - KC" into Event name
2. Enter "Press event with livestream and product demonstration area." into Description
3. Click "Save draft"
4. From "My events", open the draft again</t>
  </si>
  <si>
    <t>Safety Officer: approve the event. Coordinator: confirm the event.</t>
  </si>
  <si>
    <t>The draft is saved. Reopening it shows the Description field still reading "Press event with livestream and product demonstration area."</t>
  </si>
  <si>
    <t>SPM-30-TC09</t>
  </si>
  <si>
    <t>Status is Safety approved, then Confirmed.</t>
  </si>
  <si>
    <t>SPM-34, 87, 88</t>
  </si>
  <si>
    <t>Assigned coordinator sees and can manage the event</t>
  </si>
  <si>
    <t>AC4</t>
  </si>
  <si>
    <t>Run straight after SPM-30-TC08 - do not reset the fixtures in between.
TC08 completed: Daniel Tan is assigned to 'SPM30 Nusantara Developer Meetup'.
Logged in as Daniel Tan (daniel.tan@connectsphere.com / password123).
Data reset: Changes data (adds an equipment requirement). Reset after TC10: run `npm run fixtures:spm30` from the project folder.</t>
  </si>
  <si>
    <t>SPM-23-TC04</t>
  </si>
  <si>
    <t>Event: SPM30 Nusantara Developer Meetup | Equipment: Projector x 2</t>
  </si>
  <si>
    <t>Organiser can specify the proposed date and time</t>
  </si>
  <si>
    <t>1. Open the Dashboard
2. Open 'SPM30 Nusantara Developer Meetup' from the 'Awaiting your review' list
3. Open the 'Equipment' tab
4. Add an equipment requirement and save</t>
  </si>
  <si>
    <t>Attendee
lee.wei.ming@example.com</t>
  </si>
  <si>
    <t>'SPM30 Nusantara Developer Meetup' appears under 'Awaiting your review' on Daniel Tan's dashboard.
The equipment requirement is saved and shown in the list (management actions are available, not read-only).</t>
  </si>
  <si>
    <t>Browse Events: find the event and register. Open My Registrations. Then withdraw the registration.</t>
  </si>
  <si>
    <t>Logged in as rachel.ng@meridianfina.com / password123 (a seeded Event Organiser). Use your own initials in place of "KC" in every event name below so your drafts never clash with another tester's, on the "New event request" page, with Event name "Nusantara Product Launch 2026 - KC", Type of event "Exhibition", and Expected attendance 200 already filled in.</t>
  </si>
  <si>
    <t>The registration shows Registered, then Withdrawn. The place is given back.</t>
  </si>
  <si>
    <t>Event name: Nusantara Product Launch 2026 - KC; Starts at: 5 Dec 2026, 9:00 AM; Ends at: 5 Dec 2026, 5:00 PM</t>
  </si>
  <si>
    <t>SPM-51, 52</t>
  </si>
  <si>
    <t>1. Set Starts at to 5 Dec 2026, 9:00 AM
2. Set Ends at to 5 Dec 2026, 5:00 PM
3. Click "Submit request"
4. Open the "My events" page</t>
  </si>
  <si>
    <t>Changed by SPM-54 (venue bookings and equipment wait for approval). Step 1 passes: the event is under "Awaiting your review" on Daniel Tan's dashboard. Step 4 cannot be done: the event is still Under review after SPM-30-TC08, and its Equipment tab now says "Equipment can be recorded once this request has been approved." with no way to add a requirement. Not an app bug. The case needs rewriting, e.g. to check the coordinator can open the event and see its Equipment tab.</t>
  </si>
  <si>
    <t>No message appears and the request is submitted. "My events" lists it under "Submitted" (not under Drafts) with status "Submitted" and When "5 Dec 2026, 09:00–17:00". (After submitting, the browser is sent to the request's own page, which is not built yet and shows a 404 - ignore it and check "My events".)</t>
  </si>
  <si>
    <t>SPM-30-TC10</t>
  </si>
  <si>
    <t>Owning organiser sees the assigned coordinator</t>
  </si>
  <si>
    <t>Kristen and Sammi</t>
  </si>
  <si>
    <t>Event Organiser and Event Coordinator</t>
  </si>
  <si>
    <t>Each opens the event's Attendees tab.</t>
  </si>
  <si>
    <t>TC08 completed: Daniel Tan is assigned to 'SPM30 Nusantara Developer Meetup'.
Logged in as Budi Santoso (budi.santoso@nusantaratec.com / password123), the event's organiser.
Data reset: After this case, reset the data TC08 and TC09 changed: run `npm run fixtures:spm30` from the project folder.</t>
  </si>
  <si>
    <t>Lee Wei Ming is listed as Withdrawn, with the active count against the capacity of 100. Venue Staff and Technical Support have no Attendees tab.</t>
  </si>
  <si>
    <t>Event: SPM30 Nusantara Developer Meetup | Organiser: Budi Santoso</t>
  </si>
  <si>
    <t>SPM-23-TC07</t>
  </si>
  <si>
    <t>SPM-65</t>
  </si>
  <si>
    <t>Organiser can specify expected attendance</t>
  </si>
  <si>
    <t>1. Click 'My Events' in the sidebar
2. Open 'SPM30 Nusantara Developer Meetup'</t>
  </si>
  <si>
    <t>The 'Details' card shows Coordinator 'Daniel Tan'.</t>
  </si>
  <si>
    <t>Everyone</t>
  </si>
  <si>
    <t>Logged in as rachel.ng@meridianfina.com / password123 (a seeded Event Organiser). Use your own initials in place of "KC" in every event name below so your drafts never clash with another tester's, on the "New event request" page, with Event name, Type of event, Starts at and Ends at already filled in with valid values.</t>
  </si>
  <si>
    <t>Every role</t>
  </si>
  <si>
    <t>Expected attendance: 250</t>
  </si>
  <si>
    <t>Log in as each role in turn.</t>
  </si>
  <si>
    <t>SPM-30-TC13</t>
  </si>
  <si>
    <t>1. Enter 250 into Expected attendance
2. Click "Submit request"
3. Open the "My events" page</t>
  </si>
  <si>
    <t>Each role sees only its own sidebar links (organiser "My Events"; coordinator, Ops Manager and Safety Officer "All Events"), and the organiser sees only their own events.</t>
  </si>
  <si>
    <t>Ops Manager reassigns an event from the event page</t>
  </si>
  <si>
    <t>No message appears and the request is submitted. "My events" lists it under "Submitted" with status "Submitted" and Attendance 250. (After submitting, the browser is sent to the request's own page, which is not built yet and shows a 404 - ignore it and check "My events".)</t>
  </si>
  <si>
    <t>SPM-21, 22</t>
  </si>
  <si>
    <t>AC6, AC3</t>
  </si>
  <si>
    <t>Run before SPM-30-TC14, which continues from this case.
Test data loaded: run `npm run fixtures:spm30` from the project folder if it has not been run for this test pass.
'SPM30 Kirana Regional Offsite' (organiser Faridah Aziz) is Under review with coordinator Priya Raj.
Logged in as Grace Lim (grace.lim@connectsphere.com / password123).
Data reset: Changes data (reassigns the event). TC14 continues from this result, so reset only after TC14: run `npm run fixtures:spm30` from the project folder.</t>
  </si>
  <si>
    <t>Event: SPM30 Kirana Regional Offsite | From: Priya Raj | To: Joel Fernandez</t>
  </si>
  <si>
    <t>1. Click 'All Events'
2. Open 'SPM30 Kirana Regional Offsite'
3. In the 'Change coordinator' card, choose 'Joel Fernandez' from the dropdown
4. Click 'Reassign'
5. Click 'Reassign' in the 'Reassign this event?' confirmation
6. Reload the page</t>
  </si>
  <si>
    <t>SPM-23-TC10</t>
  </si>
  <si>
    <t>Organiser can specify venue and accessibility requirements</t>
  </si>
  <si>
    <t>The confirmation says the event moves from Priya Raj to Joel Fernandez.
The message 'Reassigned from Priya Raj to Joel Fernandez.' is shown.
After reloading, the 'Details' card shows Coordinator 'Joel Fernandez'.
The event status is unchanged (Under review).</t>
  </si>
  <si>
    <t>Logged in as rachel.ng@meridianfina.com / password123 (a seeded Event Organiser). Use your own initials in place of "KC" in every event name below so your drafts never clash with another tester's, on the "New event request" page, with Event name "Nusantara Product Launch 2026 - KC" filled in.</t>
  </si>
  <si>
    <t>Event name: Nusantara Product Launch 2026 - KC; Venue requirement: High-density WiFi; Accessibility need: Wheelchair spaces</t>
  </si>
  <si>
    <t>1. Tick "High-density WiFi" under "The venue must have"
2. Tick "Wheelchair spaces" under "Accessibility needs"
3. Click "Save draft"
4. From "My events", open the draft you just saved (find it by its name)</t>
  </si>
  <si>
    <t>SPM-30-TC14</t>
  </si>
  <si>
    <t>After reassignment the previous coordinator loses access and the new one gains it</t>
  </si>
  <si>
    <t>The browser returns to "My events" and the draft is listed. Reopening it shows both "High-density WiFi" (under "The venue must have") and "Wheelchair spaces" (under "Accessibility needs") still ticked.</t>
  </si>
  <si>
    <t>AC6, AC4</t>
  </si>
  <si>
    <t>Run straight after SPM-30-TC13 - do not reset the fixtures in between.
TC13 completed: 'SPM30 Kirana Regional Offsite' reassigned from Priya Raj to Joel Fernandez.
Data reset: After this case, reset the data TC13 changed: run `npm run fixtures:spm30` from the project folder.</t>
  </si>
  <si>
    <t>Event: SPM30 Kirana Regional Offsite | Previous: Priya Raj | New: Joel Fernandez</t>
  </si>
  <si>
    <t>Jordan - Review, planning, readiness and registration</t>
  </si>
  <si>
    <t>SPM-23-TC18</t>
  </si>
  <si>
    <t>1. Log in as Priya Raj (priya.raj@connectsphere.com / password123)
2. Open the Dashboard
3. Open 'SPM30 Kirana Regional Offsite' from 'All Events' and open the 'Equipment' tab
4. Log out and log in as Joel Fernandez (joel.fernandez@connectsphere.com / password123)
5. Open the Dashboard</t>
  </si>
  <si>
    <t>A fully completed request can be submitted</t>
  </si>
  <si>
    <t>The event is no longer listed on Priya Raj's dashboard, and she sees no add/edit options on its Equipment tab.
The event is listed under 'Awaiting your review' on Joel Fernandez's dashboard.</t>
  </si>
  <si>
    <t>AC7</t>
  </si>
  <si>
    <t>SPM-54  Begin Event Planning  -  run npm run fixtures:spm54 before its first case</t>
  </si>
  <si>
    <t>Event name: Nusantara Product Launch 2026 - KC; Type: Exhibition; Starts at: 5 Dec 2026, 9:00 AM; Ends at: 5 Dec 2026, 5:00 PM; Expected attendance: 200</t>
  </si>
  <si>
    <t>1. Enter "Nusantara Product Launch 2026 - KC" into Event name
2. Select "Exhibition" as Type of event
3. Set Starts at to 5 Dec 2026, 9:00 AM and Ends at to 5 Dec 2026, 5:00 PM
4. Enter 200 into Expected attendance
5. Click "Submit request"
6. Open the "My events" page</t>
  </si>
  <si>
    <t>No message appears and the request is submitted. "My events" lists it under "Submitted" (not under Drafts) with status "Submitted", When "5 Dec 2026, 09:00–17:00" and Attendance 200. (After submitting, the browser is sent to the request's own page, which is not built yet and shows a 404 - ignore it and check "My events".)</t>
  </si>
  <si>
    <t>SPM-54-TC01</t>
  </si>
  <si>
    <t>Pressing Search on Find a venue for an Approved event moves it to Planning</t>
  </si>
  <si>
    <t>SPM-23-TC27</t>
  </si>
  <si>
    <t>AC1, AC2</t>
  </si>
  <si>
    <t>A multi-session draft is identifiable as a draft and shows the span and largest attendance</t>
  </si>
  <si>
    <t>AC6, AC8</t>
  </si>
  <si>
    <t>Logged in as rachel.ng@meridianfina.com / password123 (a seeded Event Organiser). Use your own initials in place of "KC" in every event name below so your drafts never clash with another tester's, on the "New event request" page, with Event name "Nusantara Summit 2026 - KC" and Type of event "Conference" already filled in, "This event has multiple sessions" ticked, Session 1 = 5 Dec 2026 9:00 AM - 5:00 PM (300 attendees) and Session 2 = 6 Dec 2026 9:00 AM - 5:00 PM (80 attendees).</t>
  </si>
  <si>
    <t>Test data loaded: `npm run fixtures:spm54` has been run from the project folder since the last full `npx prisma db seed` (it only touches the 'SPM54 …' events, EVT-000145 to EVT-000154, never anyone else's data).
Before: run `npm run fixtures:spm54` so 'SPM54 Straits Clinical Forum' is back to Approved.
Logged in as Daniel Tan (daniel.tan@connectsphere.com / password123), coordinator of 'SPM54 Straits Clinical Forum' (Approved).
After: if you are running SPM-54-TC02 next, go straight to it - it needs this event in Planning. Otherwise run `npm run fixtures:spm54` so the next tester starts from the same state (never `npx prisma db seed`, which wipes everyone's data).</t>
  </si>
  <si>
    <t>Event name: Nusantara Summit 2026 - KC; Session 1: 300 attendees; Session 2: 80 attendees</t>
  </si>
  <si>
    <t>Event: SPM54 Straits Clinical Forum (EVT-000145) | Starting status: Approved | Coordinator: Daniel Tan | Organiser: Evelyn Chen</t>
  </si>
  <si>
    <t>1. Click "Save draft"
2. Look at the new draft's row in "My events"</t>
  </si>
  <si>
    <t>1. Click 'All Events' in the sidebar and open 'SPM54 Straits Clinical Forum'
2. Click the 'Venue' tab
3. Click 'Search with filters'
4. Click 'Search'
5. Click 'Continue' in the dialog
6. Click 'EVT-000145' in the breadcrumb at the top of the page
7. Click 'All Events' in the sidebar</t>
  </si>
  <si>
    <t>The event appears under "Drafts - not yet submitted" with a "Draft" status badge, visually distinct from submitted requests. Its When column shows "5 Dec 2026, 09:00 – 6 Dec 2026, 17:00" (first session start to last session end) and Attendance shows 300 (the largest single session, not 380).</t>
  </si>
  <si>
    <t>Step 1: The event page shows EVT-000145 with the 'Approved' status badge, and 'Approved' next to Status in the Details card.
Step 3: The 'Find a venue' search page opens with the subtitle 'Filled in from SPM54 Straits Clinical Forum's requirements. Change any filter and search again.' No 'Planning has started' alert is shown.
Step 4: A dialog 'Begin planning?' reads 'This is the first venue or equipment action for this event, so it will move from Approved to Planning. The organiser and ConnectSphere staff will see this status. This cannot be undone.' with 'Cancel' and 'Continue' buttons. The status has not changed yet.
Step 5: The dialog closes and the search runs. Above the filters, a green alert 'Planning has started' reads 'This event has moved from Approved to Planning now that its venue search has begun.'
Step 6: The event page shows the 'Planning' status badge, and 'Planning' next to Status in the Details card.
Step 7: The 'SPM54 Straits Clinical Forum' row shows 'Planning' in the Status column.</t>
  </si>
  <si>
    <t>SPM-24  Save Draft Event Request  -  uses the base seed data (no fixture script)</t>
  </si>
  <si>
    <t>SPM-54-TC02</t>
  </si>
  <si>
    <t>Organiser sees that their event has entered Planning</t>
  </si>
  <si>
    <t>SPM-54-TC01 has just been run ('SPM54 Straits Clinical Forum' moved to Planning by Daniel Tan).
Logged in as Evelyn Chen (evelyn.chen@straitsmedic.com / password123), Event Organiser of 'SPM54 Straits Clinical Forum'.
After: run `npm run fixtures:spm54` so the next tester starts from the same state. It deletes and recreates only the 'SPM54 …' events - do NOT run `npx prisma db seed`, which wipes everyone's data.</t>
  </si>
  <si>
    <t>Event: SPM54 Straits Clinical Forum (EVT-000145) | Organiser: Evelyn Chen | Coordinator: Daniel Tan</t>
  </si>
  <si>
    <t>1. Click 'Dashboard' in the sidebar
2. Click 'My Events' in the sidebar
3. Choose 'Planning' in 'Filter by status'
4. Click 'SPM54 Straits Clinical Forum'</t>
  </si>
  <si>
    <t>Step 1: Under the 'Planning' heading on the Dashboard, 'SPM54 Straits Clinical Forum' is listed with the 'Planning' status badge. It is the first event in that section (each section shows the five most recently updated) and is not under 'Approved'.
Step 2: Under 'Submitted', 'SPM54 Straits Clinical Forum' is listed with 'Planning' in the Status column.
Step 3: 'SPM54 Straits Clinical Forum' is still listed, and every listed event shows 'Planning'.
Step 4: The event page shows EVT-000145 with the 'Planning' status badge. The Details card shows 'Planning' next to Status and 'Daniel Tan' next to Coordinator.</t>
  </si>
  <si>
    <t>SPM-54-TC04-R</t>
  </si>
  <si>
    <t>Requesting a venue booking for an Approved event moves it to Planning</t>
  </si>
  <si>
    <t>AC1, AC3</t>
  </si>
  <si>
    <t>SPM-24-TC01</t>
  </si>
  <si>
    <t>Rewritten: the story's SPM-54-TC04 is out of date (SPM-93, SPM-90, SPM-82).
Run npm run fixtures:spm54 before and after this case. 'SPM54 Pearl Delta Supplier Briefing' is Approved, assigned to Daniel Tan, 25 Aug 2027 09:00-12:00, 50 people, Theatre, with no booking requests. Do not press 'Search' on Find a venue in this case. Logged in as Daniel Tan.</t>
  </si>
  <si>
    <t>Save Draft creates a saved draft with only a title</t>
  </si>
  <si>
    <t>Event: SPM54 Pearl Delta Supplier Briefing (Approved) | Venue: Orchard Seminar Room (ORC-SEM) | 25 Aug 2027, 09:00-12:00</t>
  </si>
  <si>
    <t>1. Click 'All Events' in the sidebar and open 'SPM54 Pearl Delta Supplier Briefing'
2. Click the 'Venue' tab
3. Click 'Request booking' on 'Orchard Seminar Room (ORC-SEM)'
4. Click 'Submit request'
5. Click 'Continue' in the dialog
6. Click 'Back to Venue'
7. Click the 'Overview' tab</t>
  </si>
  <si>
    <t>Run before SPM-24-TC09, which continues from this case.
Logged in as Rachel Ng (rachel.ng@meridianfina.com / password123), a seeded Organiser. On the "New event request" page.</t>
  </si>
  <si>
    <t>Event name: Annual Partner Appreciation Dinner</t>
  </si>
  <si>
    <t>1. Enter "Annual Partner Appreciation Dinner" into Event name
2. Leave every other field blank
3. Click "Save draft"</t>
  </si>
  <si>
    <t>Step 1: The event page shows the 'Approved' status badge.
Step 3: The form shows Event 'SPM54 Pearl Delta Supplier Briefing', Venue 'Orchard Seminar Room (ORC-SEM)', and is filled in with Main programme, Expected attendance 50, Room layout Theatre, Date 25 Aug 2027, 09:00 to 12:00, reading 'Setup: 08:00–09:00 (60 min)', 'Turnaround: 12:00–12:30 (30 min)', 'Room in use: 08:00–12:30'.
Step 4: A dialog 'Begin planning?' reads 'This is the first venue or equipment action for this event, so it will move from Approved to Planning. The organiser and ConnectSphere staff will see this status. This cannot be undone.' with 'Cancel' and 'Continue'. Nothing has been sent yet.
Step 5: A green alert 'Booking request sent to Venue Staff.' reads 'It is Pending until Venue Staff review it.' Below it, 'Planning has started' reads 'This event has moved from Approved to Planning now that a venue booking has been requested.'
Step 6: The 'Booking requests' card lists 'Orchard Seminar Room (ORC-SEM)' with 'Main programme · 25 Aug 2027, 09:00–12:00 · Theatre · 50 attendees', 'Hold expires Hold expires' followed by the date and time 7 days after the request was sent, and the badge 'Pending'.
Step 7: The status badge reads 'Planning', and so does Status in the Details card.</t>
  </si>
  <si>
    <t>The browser returns to the "My events" page.
The event appears under "Drafts — not yet submitted" with the title "Annual Partner Appreciation Dinner" and a "Draft" status badge.</t>
  </si>
  <si>
    <t>SPM-33  Track Outstanding Arrangements  -  run npm run fixtures:spm33 before its first case</t>
  </si>
  <si>
    <t>Janelle - Venue catalogue, availability and notifications</t>
  </si>
  <si>
    <t>SPM-24-TC06</t>
  </si>
  <si>
    <t>Organiser can leave and return to a saved draft</t>
  </si>
  <si>
    <t>SPM-33-TC01-R</t>
  </si>
  <si>
    <t>Seeded draft "Q1 Investor Update (rough idea)" owned by rachel.ng@meridianfina.com. Its saved description reads "Still checking dates with the exec team."</t>
  </si>
  <si>
    <t>Every venue booking, equipment line and the safety check are listed with their own status, and Confirm names everything outstanding, the safety check included</t>
  </si>
  <si>
    <t>Login: rachel.ng@meridianfina.com / password123</t>
  </si>
  <si>
    <t>AC1, AC2, AC3, AC6, AC7, AC9, AC11</t>
  </si>
  <si>
    <t>1. Log in as rachel.ng@meridianfina.com / password123
2. Log out
3. Log back in as rachel.ng@meridianfina.com / password123
4. Open the "My events" page
5. Click the "Q1 Investor Update (rough idea)" row</t>
  </si>
  <si>
    <t>Rewritten: the story's SPM-33-TC01 is out of date (SPM-88, SPM-65).
The SPM-33 fixtures are loaded (npm run fixtures:spm33). 'SPM33 Two Room Conference' is in Planning, assigned to Daniel Tan, with Marina Auditorium (Approved), Orchard Studio (Pending), Handheld Wireless Mic (Reserved) and Audio Mixing Desk (Requested). It has never been submitted for a safety check. Logged in as Daniel Tan. Confirmation is refused, so nothing changes.</t>
  </si>
  <si>
    <t>The "Edit draft" page opens with every previously saved value already filled in, including the Description field reading "Still checking dates with the exec team."
The Draft badge is still shown.</t>
  </si>
  <si>
    <t>Event: SPM33 Two Room Conference (Planning)</t>
  </si>
  <si>
    <t>1. Click 'All Events' in the sidebar and open 'SPM33 Two Room Conference'
2. Click the 'Readiness' tab
3. Click the 'Overview' tab
4. Click 'Confirm event'
5. Click 'Confirm event' in the dialog</t>
  </si>
  <si>
    <t>Step 1: The status badge reads 'Planning'. The tabs are 'Overview', 'Venue', 'Equipment', 'Attendees' and 'Readiness'.
Step 2: '3 arrangements still block confirmation' is shown. 'Marina Auditorium' (Booking status: Approved) and 'Handheld Wireless Mic' (Request status: Reserved) are 'Complete'. 'Orchard Studio' is 'Outstanding': 'Orchard Studio for this event is still awaiting a decision from Venue Staff.' 'Audio Mixing Desk' is 'Outstanding': 'Audio Mixing Desk for this event is not reserved yet.' Both have 'Mark as not required'. 'Registration setup' is 'Not required': 'Registration is not enabled for this event.' 'Operational Safety Check' is 'Outstanding' (Safety check status: Not submitted): 'The Operational Safety Check has not been submitted yet.', with no 'Mark as not required' button.
Step 5: The event is NOT confirmed. 'This event cannot be confirmed yet: Orchard Studio for this event is still awaiting a decision from Venue Staff; Audio Mixing Desk for this event is not reserved yet; the Operational Safety Check has not been submitted yet.' is shown. The status badge still reads 'Planning'.</t>
  </si>
  <si>
    <t>SPM-24-TC09</t>
  </si>
  <si>
    <t>Editing a draft's fields saves the changes</t>
  </si>
  <si>
    <t>Run straight after SPM-24-TC01 - do not reset the fixtures in between.
Draft "Annual Partner Appreciation Dinner" from TC01, owned by rachel.ng@meridianfina.com, has no other fields set yet.</t>
  </si>
  <si>
    <t>Event name: Annual Partner Appreciation Dinner - Updated; Type of event: Conference; Starts at: 10 Nov 2026, 9:00 AM; Ends at: 10 Nov 2026, 5:00 PM</t>
  </si>
  <si>
    <t>SPM-33-TC05-R</t>
  </si>
  <si>
    <t>A flagged venue booking and equipment reservation are shown as outstanding, with why, and prevent confirmation along with the safety check</t>
  </si>
  <si>
    <t>1. Log in as rachel.ng@meridianfina.com / password123
2. Open the draft's "Edit draft" page
3. Change Event name to "Annual Partner Appreciation Dinner - Updated"
4. Set Type of event to "Conference"
5. Set Starts at to 10 Nov 2026, 9:00 AM and Ends at to 10 Nov 2026, 5:00 PM
6. Click "Save draft"</t>
  </si>
  <si>
    <t>AC4, AC11</t>
  </si>
  <si>
    <t>The browser returns to "My events". Status remains "Draft". Reopening the draft shows all the updated values.</t>
  </si>
  <si>
    <t>Rewritten: the story's SPM-33-TC05 is out of date (SPM-88).
The SPM-33 fixtures are loaded. 'SPM33 Date Changed' is in Planning, assigned to Daniel Tan; its Orchard Seminar Room booking (Approved) and Handheld Wireless Mic (Reserved) are both flagged because the date changed. Logged in as Daniel Tan. Nothing changes.</t>
  </si>
  <si>
    <t>Event: SPM33 Date Changed (Planning)</t>
  </si>
  <si>
    <t>1. Click 'All Events' in the sidebar and open 'SPM33 Date Changed'
2. Click the 'Readiness' tab
3. Click the 'Overview' tab
4. Click 'Confirm event'
5. Click 'Confirm event' in the dialog</t>
  </si>
  <si>
    <t>SPM-24-TC14</t>
  </si>
  <si>
    <t>Step 2: '3 arrangements still block confirmation' is shown. 'Orchard Seminar Room' (Booking status: Approved) is 'Outstanding': 'Orchard Seminar Room for this event is flagged for review: the date or time changed.', with 'Review in Flagged Arrangements', 'Keep booking' and 'Mark as not required'. 'Handheld Wireless Mic' (Request status: Reserved) is 'Outstanding' and flagged the same way, with 'Keep reservation'. 'Operational Safety Check' is 'Outstanding' (Not submitted).
Step 5: The event is NOT confirmed. 'This event cannot be confirmed yet: Orchard Seminar Room for this event is flagged for review: the date or time changed; Handheld Wireless Mic for this event is flagged for review: the date or time changed; the Operational Safety Check has not been submitted yet.' is shown. The status badge still reads 'Planning'.</t>
  </si>
  <si>
    <t>A complete draft can be submitted and leaves draft status</t>
  </si>
  <si>
    <t>AC1, AC5</t>
  </si>
  <si>
    <t>The draft from TC09 has Event name, Type, Starts at and Ends at set. Expected attendance is still missing.</t>
  </si>
  <si>
    <t>Expected attendance: 120 (everything else already saved from TC09)</t>
  </si>
  <si>
    <t>SPM-33-TC08-R</t>
  </si>
  <si>
    <t>1. Open the draft's "Edit draft" page
2. Enter 120 into Expected attendance
3. Click "Submit request"</t>
  </si>
  <si>
    <t>The assigned Coordinator marks an equipment line Technical Support cannot provide as not required</t>
  </si>
  <si>
    <t>AC8, AC10, AC7</t>
  </si>
  <si>
    <t>The browser moves to the event's own page. Its status badge now reads "Submitted" instead of "Draft", and it no longer appears under "Drafts — not yet submitted" on "My events".</t>
  </si>
  <si>
    <t>Rewritten: the story's SPM-33-TC08 is out of date (SPM-88).
Run before SPM-33-TC09-R, which continues from this case.
Run npm run fixtures:spm33 before this case. 'SPM33 Stage Unavailable' is in Planning, assigned to Daniel Tan, with an approved booking at Orchard Gallery, Handheld Wireless Mic (Reserved) and Portable Stage (Cannot be provided). Logged in as Daniel Tan. SPM-33-TC09 needs this change, so go straight to it and run npm run fixtures:spm33 after SPM-33-TC09.</t>
  </si>
  <si>
    <t>Event: SPM33 Stage Unavailable (Planning)</t>
  </si>
  <si>
    <t>1. Click 'All Events' in the sidebar and open 'SPM33 Stage Unavailable'
2. Click the 'Readiness' tab
3. Click 'Mark as not required' in the 'Portable Stage' item</t>
  </si>
  <si>
    <t>SPM-25  Submit Event Request  -  uses the base seed data (no fixture script)</t>
  </si>
  <si>
    <t>Step 2: '2 arrangements still block confirmation' is shown. 'Portable Stage' (Request status: Cannot be provided) is 'Outstanding': 'Portable Stage for this event is not reserved yet.', with 'Mark as not required'. 'Orchard Gallery' and 'Handheld Wireless Mic' are 'Complete' with no such button. 'Operational Safety Check' is 'Outstanding' (Not submitted).
Step 3: 'Portable Stage' now shows 'Not required', still 'Request status: Cannot be provided', and 'Marked as not required by Daniel Tan on' today's date and time. Its button reads 'Mark as required'. The message changes to '1 arrangement still blocks confirmation' - the safety check, which cannot be marked as not required.</t>
  </si>
  <si>
    <t>SPM-33-TC09-R</t>
  </si>
  <si>
    <t>The Coordinator reverses a not-required decision and the arrangement is outstanding again</t>
  </si>
  <si>
    <t>AC8</t>
  </si>
  <si>
    <t>SPM-25-TC01</t>
  </si>
  <si>
    <t>Rewritten: the story's SPM-33-TC09 is out of date (SPM-88).
Run straight after SPM-33-TC08-R - do not reset the fixtures in between.
SPM-33-TC08 has just been run and the fixtures have NOT been reset since. Still on the Readiness tab of 'SPM33 Stage Unavailable' as Daniel Tan. Run npm run fixtures:spm33 after this case.</t>
  </si>
  <si>
    <t>Event: SPM33 Stage Unavailable (Planning) | Portable Stage, marked as not required in SPM-33-TC08</t>
  </si>
  <si>
    <t>Submitting a complete event request succeeds and moves it to Submitted</t>
  </si>
  <si>
    <t>1. Click 'Mark as required' in the 'Portable Stage' item
2. Click the 'Equipment' tab of the event (not 'Equipment' in the sidebar)</t>
  </si>
  <si>
    <t>Step 1: 'Portable Stage' is 'Outstanding' again, with 'Mark as not required', and no longer says who marked it. The message changes back to '2 arrangements still block confirmation'.
Step 2: The 'Portable Stage' requirement is still listed with 'Cannot be provided' and 'Technical Support notes: Every unit is committed elsewhere that week.' Marking it and reversing the decision did not change or remove it.</t>
  </si>
  <si>
    <t>Logged in as an Event Organiser (e.g. rachel.ng@meridianfina.com).
No existing event named 'Quarterly Town Hall' for this organiser.</t>
  </si>
  <si>
    <t>Event name: Quarterly Town Hall
Type: Meeting
Starts at: today + 7 days, 10:00
Ends at: today + 7 days, 11:00
Expected attendance: 50</t>
  </si>
  <si>
    <t>Sammi - Venue booking requests</t>
  </si>
  <si>
    <t>1. From the sidebar, click 'My Events'
2. Click 'New event request'
3. Enter the event name 'Quarterly Town Hall'
4. Select 'Meeting' as the type of event
5. Enter a Starts at date/time 7 days from today, 10:00
6. Enter an Ends at date/time 7 days from today, 11:00
7. Enter '50' as the Expected attendance
8. Click 'Submit request'
9. From the sidebar, click 'My Events' again</t>
  </si>
  <si>
    <t>SPM-33-TC12-R</t>
  </si>
  <si>
    <t>Registration that is enabled but has no capacity is outstanding until it is marked as not required</t>
  </si>
  <si>
    <t>No validation errors appear; the form submits without returning to the New event request page.
On 'My Events', the event does NOT appear under 'Drafts — not yet submitted'.
The event appears under 'Submitted' with a 'Submitted' status badge, the correct date/time range, and attendance '50'.</t>
  </si>
  <si>
    <t>AC5, AC8</t>
  </si>
  <si>
    <t>Rewritten: the story's SPM-33-TC12 is out of date (SPM-88).
Run npm run fixtures:spm33 before and after this case. 'SPM33 Registration Not Needed' is in Planning, assigned to Daniel Tan, with an approved booking at Orchard Gallery and no equipment. Registration is enabled, opens 22 Jun 2027, 09:00 and closes 20 Jul 2027, 09:00, with no capacity. Logged in as Daniel Tan.</t>
  </si>
  <si>
    <t>Event: SPM33 Registration Not Needed (Planning) | Registration: enabled, capacity not set</t>
  </si>
  <si>
    <t>1. Click 'All Events' in the sidebar and open 'SPM33 Registration Not Needed'
2. Click the 'Readiness' tab
3. Click 'Mark as not required' in the 'Registration setup' item
4. Click the 'Overview' tab</t>
  </si>
  <si>
    <t>SPM-25-TC05</t>
  </si>
  <si>
    <t>A submitted request no longer opens as an editable draft</t>
  </si>
  <si>
    <t>Step 2: '2 arrangements still block confirmation' is shown. 'Orchard Gallery' is 'Complete'. The Equipment section says 'No equipment has been recorded for this event.' 'Registration setup' is 'Outstanding': 'Registration setup is incomplete (still needed: registration capacity).', with 'Mark as not required'. 'Operational Safety Check' is 'Outstanding' (Not submitted).
Step 3: 'Registration setup' shows 'Not required' and 'Marked as not required by Daniel Tan on' today's date and time, and its button reads 'Mark as required'. The message changes to '1 arrangement still blocks confirmation' (the safety check).
Step 4: The status badge still reads 'Planning'. The Registration card still shows Registration 'Enabled', Capacity '—', Opens '22 Jun 2027, 09:00' and Closes '20 Jul 2027, 09:00': the settings were not changed.</t>
  </si>
  <si>
    <t>The event from SPM-25-TC01 ('Quarterly Town Hall') has status 'Submitted'.
Logged in as the organiser who owns it.</t>
  </si>
  <si>
    <t>Event: Quarterly Town Hall (status: Submitted)</t>
  </si>
  <si>
    <t>1. From 'My Events', confirm 'Quarterly Town Hall' is listed only under 'Submitted', not under 'Drafts — not yet submitted'
2. Use the browser's Back button to return to the 'Edit draft' page for this event that was open earlier in TC01's session (or navigate back to it via browser history)
3. Observe the page that loads</t>
  </si>
  <si>
    <t>SPM-34  Confirm Event  -  run npm run fixtures:spm34 before its first case</t>
  </si>
  <si>
    <t>'Quarterly Town Hall' is absent from the 'Drafts — not yet submitted' section.
The 'Edit draft' page shows an alert titled 'Could not open this draft' with the message 'This request has already been submitted, so it can no longer be edited here.' No form fields are shown, and a 'Back to My Events' button is offered instead.</t>
  </si>
  <si>
    <t>SPM-34-TC01-R</t>
  </si>
  <si>
    <t>SPM-25-TC06</t>
  </si>
  <si>
    <t>An event whose arrangements are all complete is confirmed once the Safety Officer has approved its safety check</t>
  </si>
  <si>
    <t>Event Coordinator can see a submitted request in All Events</t>
  </si>
  <si>
    <t>The event from SPM-25-TC01 ('Quarterly Town Hall') has status 'Submitted'.
Log out of the organiser account.</t>
  </si>
  <si>
    <t>Rewritten: the story's SPM-34-TC01 is out of date (SPM-86, SPM-87, SPM-88).
Run before SPM-34-TC02-R, which continues from this case.
Run npm run fixtures:spm34 before this case. 'SPM34 Ready To Confirm' is in Planning, assigned to Daniel Tan, with an approved booking at Orchard Seminar Room and Handheld Wireless Mic (Reserved). Logged in as Daniel Tan. SPM-34-TC02 and SPM-34-TC03 read the result, so go straight to them and run npm run fixtures:spm34 after SPM-34-TC03.</t>
  </si>
  <si>
    <t>Coordinator: daniel.tan@connectsphere.com
Filter: Submitted</t>
  </si>
  <si>
    <t>Event: SPM34 Ready To Confirm (Planning) | Safety Officer: Hana Yusof</t>
  </si>
  <si>
    <t>1. Log in as the Event Coordinator (e.g. daniel.tan@connectsphere.com)
2. From the sidebar, click 'All Events'
3. Use the 'Filter by status' dropdown to select 'Submitted'
4. Locate the 'Quarterly Town Hall' row</t>
  </si>
  <si>
    <t>1. Click 'All Events' in the sidebar and open 'SPM34 Ready To Confirm'
2. Click 'Submit for safety check'
3. Click 'Submit' in the dialog
4. Log out, then log in as hana.yusof@connectsphere.com / password123
5. Click 'Safety Checks' in the sidebar and open 'SPM34 Ready To Confirm'
6. Click 'Record safety decision', choose 'Approve' and click 'Record decision'
7. Log out, then log in as daniel.tan@connectsphere.com / password123
8. Click 'All Events' in the sidebar and open 'SPM34 Ready To Confirm'
9. Click 'Confirm event'
10. Click 'Confirm event' in the dialog</t>
  </si>
  <si>
    <t>Step 1: The status badge reads 'Planning', with 'Submit for safety check' and 'Confirm event' in the header.
Step 2: A dialog 'Submit for safety check?' reads 'SPM34 Ready To Confirm will move to Safety review and the Safety Officer will be notified. Anything still outstanding or flagged for review will be listed instead.'
Step 3: 'The event has been submitted for a safety check. The Safety Officer has been notified.' is shown and the status badge reads 'Safety review'.
Step 6: 'Safety check approved. The coordinator has been notified.' is shown and the status badge reads 'Safety approved'.
Step 8: The status badge reads 'Safety approved' and the 'Confirm event' button is shown.
Step 9: A dialog 'Confirm this event?' reads 'SPM34 Ready To Confirm will be marked Confirmed, and the organiser will be able to see the venue and equipment arranged for it. Anything still outstanding will be listed instead.'
Step 10: 'The event is confirmed. The organiser can now see the arrangements.' is shown and the status badge reads 'Confirmed'.</t>
  </si>
  <si>
    <t>'Quarterly Town Hall' appears in the table with its date/time range, attendance '50', and a 'Submitted' status badge — confirming the coordinator can see the submitted request.
Every other row in the table also shows a 'Submitted' status badge — the filter actually narrows the table to that status, rather than continuing to show every event regardless of the selected filter.</t>
  </si>
  <si>
    <t>SPM-27  View Event Status  -  run npm run fixtures:spm27 before its first case</t>
  </si>
  <si>
    <t>SPM-34-TC02-R</t>
  </si>
  <si>
    <t>The venue and equipment stay attached to the event after it is confirmed</t>
  </si>
  <si>
    <t>Rewritten: the story's SPM-34-TC02 is out of date (SPM-88).
Run straight after SPM-34-TC01-R - do not reset the fixtures in between. Run before SPM-34-TC03-R, which continues from this case.
SPM-34-TC01 has just been run ('SPM34 Ready To Confirm' is Confirmed) and the fixtures have NOT been reset since. Logged in as Daniel Tan, on the event.</t>
  </si>
  <si>
    <t>Event: SPM34 Ready To Confirm, now Confirmed</t>
  </si>
  <si>
    <t>1. Click the 'Venue' tab
2. Click the event's 'Equipment' tab (not 'Equipment' in the sidebar)</t>
  </si>
  <si>
    <t>Step 1: Under 'Booking requests', 'Orchard Seminar Room (ORC-SEM)' is still listed with '10 May 2027, 09:00–15:00 · Theatre' and the badge 'Approved'.
Step 2: Under 'Requested items', 'Handheld Wireless Mic' is still listed with 'Reserved' and '2 reserved'.</t>
  </si>
  <si>
    <t>SPM-27-TC01</t>
  </si>
  <si>
    <t>My Events shows each of the organiser's events with its current status badge</t>
  </si>
  <si>
    <t>Kristen - Equipment and the safety check</t>
  </si>
  <si>
    <t>SPM-34-TC03-R</t>
  </si>
  <si>
    <t>Test data freshly loaded: run `npm run fixtures:spm27` from the project folder just before this case.
Logged in as Hakim Zulkifli (hakim.zulkifli@bayuenergypa.com / password123), Event Organiser, Bayu Energy Partners.</t>
  </si>
  <si>
    <t>The Organiser can see the confirmed event and its arrangements</t>
  </si>
  <si>
    <t>AC7, AC5</t>
  </si>
  <si>
    <t>SPM27 Bayu Safety Briefing: Submitted | SPM27 Bayu Investor Day: Submitted | SPM27 Bayu Town Hall: Submitted | SPM27 Bayu Grid Workshop: Under review | SPM27 Bayu Contractor Briefing: Under review | SPM27 Bayu Supplier Day: Approved | SPM27 Bayu Leadership Retreat: Planning | SPM27 Bayu Annual Conference: Confirmed | SPM27 Bayu Graduate Induction: Completed | SPM27 Bayu Overnight Site Visit: Rejected | SPM27 Bayu Community Fair: Postponed | SPM27 Bayu Partner Lunch: Withdrawn | SPM27 Bayu Wind Farm Tour: Withdrawn | SPM27 Bayu Product Showcase: Cancelled</t>
  </si>
  <si>
    <t>1. Click 'My Events' in the sidebar</t>
  </si>
  <si>
    <t>Rewritten: the story's SPM-34-TC03 is out of date (SPM-88).
Run straight after SPM-34-TC02-R - do not reset the fixtures in between.
SPM-34-TC02 has just been run and the fixtures have NOT been reset since. Run npm run fixtures:spm34 after this case.</t>
  </si>
  <si>
    <t>Account: rachel.ng@meridianfina.com (Event Organiser) | Event: SPM34 Ready To Confirm, Confirmed</t>
  </si>
  <si>
    <t>1. Log out, then log in as rachel.ng@meridianfina.com / password123
2. Click 'My Events' in the sidebar
3. Click 'SPM34 Ready To Confirm' in the list</t>
  </si>
  <si>
    <t>Step 1: Each of the 14 SPM27 events shows a coloured status badge with exactly the label listed in Test data, so all 10 statuses appear: Submitted, Under review, Approved, Planning, Confirmed, Completed, Rejected, Postponed, Withdrawn, Cancelled (some on more than one event). No status is shown as a raw value such as 'under_review'. Only Bayu Energy Partners events are listed; no other company's events appear.</t>
  </si>
  <si>
    <t>Step 2: 'SPM34 Ready To Confirm' is listed with '10 May 2027, 09:00–15:00', 40 and the status 'Confirmed'.
Step 3: The event shows STATUS 'Confirmed' and VENUE 'Orchard Seminar Room (ORC-SEM)'. There is no 'Confirm event' or 'Submit for safety check' button.</t>
  </si>
  <si>
    <t>SPM-34-TC04-R</t>
  </si>
  <si>
    <t>An event that needs no equipment is confirmed on its venue alone, once its safety check is approved</t>
  </si>
  <si>
    <t>AC2, AC1</t>
  </si>
  <si>
    <t>Rewritten: the story's SPM-34-TC04 is out of date (SPM-86, SPM-87, SPM-88).
Run npm run fixtures:spm34 before and after this case. 'SPM34 Venue Only' is in Planning, assigned to Daniel Tan, with an approved booking at Orchard Seminar Room and no equipment requirements. Logged in as Daniel Tan.</t>
  </si>
  <si>
    <t>Event: SPM34 Venue Only (Planning) | Equipment: none recorded</t>
  </si>
  <si>
    <t>SPM-27-TC02</t>
  </si>
  <si>
    <t>1. Click 'All Events' in the sidebar and open 'SPM34 Venue Only'
2. Click 'Submit for safety check'
3. Click 'Submit' in the dialog
4. Log out, then log in as hana.yusof@connectsphere.com / password123
5. Click 'Safety Checks' in the sidebar and open 'SPM34 Venue Only'
6. Click 'Record safety decision', choose 'Approve' and click 'Record decision'
7. Log out, then log in as daniel.tan@connectsphere.com / password123
8. Click 'All Events' in the sidebar and open 'SPM34 Venue Only'
9. Click 'Confirm event'
10. Click 'Confirm event' in the dialog</t>
  </si>
  <si>
    <t>Event page status changes after another role acts on the event</t>
  </si>
  <si>
    <t>Step 2: A dialog 'Submit for safety check?' reads 'SPM34 Venue Only will move to Safety review and the Safety Officer will be notified. Anything still outstanding or flagged for review will be listed instead.'
Step 3: 'The event has been submitted for a safety check. The Safety Officer has been notified.' is shown and the status badge reads 'Safety review'.
Step 6: 'Safety check approved. The coordinator has been notified.' is shown and the status badge reads 'Safety approved'.
Step 8: The status badge reads 'Safety approved' and the 'Confirm event' button is shown.
Step 9: A dialog 'Confirm this event?' reads 'SPM34 Venue Only will be marked Confirmed, and the organiser will be able to see the venue and equipment arranged for it. Anything still outstanding will be listed instead.'
Step 10: 'The event is confirmed. The organiser can now see the arrangements.' is shown and the status badge reads 'Confirmed'.</t>
  </si>
  <si>
    <t>Test data freshly loaded: run `npm run fixtures:spm27` from the project folder before and after this case.
'SPM27 Bayu Investor Day' is Submitted with no coordinator.
Accounts: Hakim Zulkifli (hakim.zulkifli@bayuenergypa.com / password123), Event Organiser; Grace Lim (grace.lim@connectsphere.com / password123), Event Operations Manager.</t>
  </si>
  <si>
    <t>Event: SPM27 Bayu Investor Day | Coordinator: Hui Shan Neo</t>
  </si>
  <si>
    <t>1. Log in as Hakim Zulkifli
2. Click 'My Events' in the sidebar
3. Open 'SPM27 Bayu Investor Day'
4. Log out and log in as Grace Lim
5. Click 'Assignments' in the sidebar
6. On the 'SPM27 Bayu Investor Day' row, choose 'Hui Shan Neo' in 'Assign to'
7. Click 'Assign'
8. Log out and log in as Hakim Zulkifli
9. Click 'My Events' in the sidebar
10. Open 'SPM27 Bayu Investor Day'</t>
  </si>
  <si>
    <t>Step 3: The badge under the title and the Details 'Status' row both read 'Submitted'.
Step 10: The badge and the Details 'Status' row both read 'Under review'.</t>
  </si>
  <si>
    <t>SPM-64  Configure Event Registration  -  run npm run fixtures:spm64 before its first case</t>
  </si>
  <si>
    <t>SPM-31  View Event Information  -  uses the base seed data (no fixture script)</t>
  </si>
  <si>
    <t>SPM-64-TC01</t>
  </si>
  <si>
    <t>The assigned coordinator turns registration on</t>
  </si>
  <si>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 the coordinator assigned to every 'SPM64 …' event.</t>
  </si>
  <si>
    <t>Event: SPM64 Orchard Data Forum (Planning) | Registration: off -&gt; on</t>
  </si>
  <si>
    <t>1. Click 'All Events' in the sidebar and open 'SPM64 Orchard Data Forum'
2. Click 'Change registration settings' on the Registration card
3. Tick 'Attendees need to register for this event'
4. Click 'Save registration settings'
5. Reload the page</t>
  </si>
  <si>
    <t>SPM-31-TC03</t>
  </si>
  <si>
    <t>Opening a draft from 'My Events' goes straight to the draft editor, never the Overview tab</t>
  </si>
  <si>
    <t>Step 1: The Registration card shows 'Registration: Not enabled for this event' and a 'Change registration settings' button.
Step 2: The card shows the checkbox 'Attendees need to register for this event', not ticked, and the buttons 'Save registration settings' and 'Cancel'.
Step 3: 'Registration capacity', 'Registration opens' and 'Registration closes' appear, empty.
Step 4: A green alert 'Registration settings saved.' appears. The card shows 'Registration: Enabled', 'Capacity: —', 'Measured against: —', 'Opens: —' and 'Closes: —', and an amber alert 'Registration setup is incomplete' reads 'Still needed: registration capacity, opening date, closing date.' (checked in SPM-64-TC16).
Step 5: The card still shows 'Registration: Enabled'.</t>
  </si>
  <si>
    <t>Logged in as Rachel Ng (rachel.ng@meridianfina.com / password123), Event Organiser.
'Q1 Investor Update (rough idea)' is her own Draft event with description 'Still checking dates with the exec team.' and no category, schedule, or attendance set yet.</t>
  </si>
  <si>
    <t>Event: Q1 Investor Update (rough idea) (Draft, owned by Rachel Ng)</t>
  </si>
  <si>
    <t>SPM-64-TC04</t>
  </si>
  <si>
    <t>1. Open 'My Events'
2. Click the row for 'Q1 Investor Update (rough idea)' under 'Drafts — not yet submitted'</t>
  </si>
  <si>
    <t>Setting a capacity on an event with one booking measures it against that booking automatically</t>
  </si>
  <si>
    <t>Smoke run</t>
  </si>
  <si>
    <t>She is taken straight to the 'Edit draft' page (the Basics/Schedule/Venue requirements/Registration form), not an Overview tab.
No Details card, no Organiser/Company/Coordinator rows, and no draft info banner appear anywhere — a draft has no Overview view at all; it is only ever edited, never overviewed (see SPM-31-TC15).</t>
  </si>
  <si>
    <t>AC2, AC4</t>
  </si>
  <si>
    <t>Test data loaded: `npm run fixtures:spm64` has been run from the project folder since the last full `npx prisma db seed` (it only touches the 'SPM64 …' events, never anyone else's data).
Before and after: run `npm run fixtures:spm64` (never `npx prisma db seed`, which wipes everyone's data).
Logged in as Daniel Tan (daniel.tan@connectsphere.com / password123).</t>
  </si>
  <si>
    <t>Event: SPM64 Orchard Data Forum (one approved booking: Orchard Seminar Room, Classroom, up to 70) | Registration capacity: 60</t>
  </si>
  <si>
    <t>SPM-62  Update Event Information  -  run npm run fixtures:spm62 before its first case</t>
  </si>
  <si>
    <t>1. Click 'All Events' in the sidebar and open 'SPM64 Orchard Data Forum'
2. Click 'Change registration settings' on the Registration card
3. Tick 'Attendees need to register for this event'
4. Enter 60 in 'Registration capacity'
5. Click 'Save registration settings'</t>
  </si>
  <si>
    <t>Step 3: 'Registration capacity' appears. There is no 'Capacity measured against' field, because the event has one booking.
Step 5: 'Registration settings saved.' appears. The card shows 'Capacity: 60' and 'Measured against: Orchard Seminar Room (ORC-SEM), Classroom layout – up to 70'.</t>
  </si>
  <si>
    <t>SPM-64-TC11</t>
  </si>
  <si>
    <t>The registration period is set separately from the event's own date</t>
  </si>
  <si>
    <t>SPM-62-TC01</t>
  </si>
  <si>
    <t>The edit form opens with the event's current information and only the fields a coordinator may change</t>
  </si>
  <si>
    <t>Event: SPM64 Orchard Data Forum (18 Mar 2027, 09:00–17:00) | Opens: 1 Feb 2027, 09:00 | Closes: 10 Mar 2027, 17:00</t>
  </si>
  <si>
    <t>1. Click 'All Events' in the sidebar and open 'SPM64 Orchard Data Forum'
2. Click 'Change registration settings' on the Registration card
3. Tick 'Attendees need to register for this event'
4. Enter 1 Feb 2027, 09:00 in 'Registration opens'
5. Enter 10 Mar 2027, 17:00 in 'Registration closes'
6. Click 'Save registration settings'</t>
  </si>
  <si>
    <t>Test data loaded: `npm run fixtures:spm62` has been run from the project folder since the last full `npx prisma db seed` (it only touches the 'SPM62 …' events, never anyone else's data).
Logged in as Daniel Tan (daniel.tan@connectsphere.com / password123), the coordinator assigned to every 'SPM62 …' event.
Nothing is saved in this case.</t>
  </si>
  <si>
    <t>Event: SPM62 Harbour Leadership Summit | Status: Planning | When: 17 Mar 2027, 09:00–17:00 | Expected attendance: 80 | Layout: Theatre | Required facility: Fixed ceiling projector</t>
  </si>
  <si>
    <t>Step 1: 'When' in the Details card shows '18 Mar 2027, 09:00–17:00'.
Step 6: 'Registration settings saved.' appears. The card shows 'Opens: 1 Feb 2027, 09:00' and 'Closes: 10 Mar 2027, 17:00'. 'When' in the Details card still shows '18 Mar 2027, 09:00–17:00'.</t>
  </si>
  <si>
    <t>1. Click 'All Events' in the sidebar and open 'SPM62 Harbour Leadership Summit'
2. Click 'Edit event information'
3. Click 'Cancel'</t>
  </si>
  <si>
    <t>Step 1: The event page shows the 'Planning' status badge and an 'Edit event information' button at the top of the page.
Step 2: The 'Edit event information' page opens with the 'Planning' status badge. The form is filled in with the event's current information: Event name 'SPM62 Harbour Leadership Summit', Starts at 17 Mar 2027 09:00, Ends at 17 Mar 2027 17:00, Expected attendance 80, Preferred room layout 'Theatre', and 'Fixed ceiling projector' ticked under 'The venue must have'. There are no fields for Organiser, Company, Coordinator or Status, no Registration section, and no equipment rows: an info message reads 'Equipment is changed on the Equipment tab.' The buttons are 'Save changes' and 'Cancel'. No amber warning is shown.
Step 3: The event page opens again with the 'Planning' status badge and the same details as in step 1.</t>
  </si>
  <si>
    <t>SPM-64-TC14</t>
  </si>
  <si>
    <t>A registration period that has closed is reopened by moving its closing date later</t>
  </si>
  <si>
    <t>SPM-62-TC03</t>
  </si>
  <si>
    <t>An ordinary edit to an Approved event is saved and shown on the event, with nothing flagged</t>
  </si>
  <si>
    <t>AC1, AC2, AC7</t>
  </si>
  <si>
    <t>Event: SPM64 Closed Registration Seminar (Confirmed, starts 10 Mar 2027, 09:00) | Closes: 30 Sept 2026, 17:00 (already past) -&gt; 28 Feb 2027, 17:00</t>
  </si>
  <si>
    <t>1. Click 'All Events' in the sidebar and open 'SPM64 Closed Registration Seminar'
2. Click 'Change registration settings' on the Registration card
3. Change 'Registration closes' to 28 Feb 2027, 17:00
4. Click 'Save registration settings'</t>
  </si>
  <si>
    <t>Step 1: The card shows 'Closes: 30 Sept 2026, 17:00', a date that has already passed.
Step 4: 'Registration settings saved.' appears. The card shows 'Opens: 1 Aug 2026, 09:00' and 'Closes: 28 Feb 2027, 17:00'. The status badge still reads 'Confirmed'.</t>
  </si>
  <si>
    <t>Test data loaded: `npm run fixtures:spm62` has been run from the project folder since the last full `npx prisma db seed` (it only touches the 'SPM62 …' events, never anyone else's data).
Before: run `npm run fixtures:spm62` so 'SPM62 Bayu Energy Outlook' is back in its starting state.
Logged in as Daniel Tan (daniel.tan@connectsphere.com / password123), the coordinator assigned to every 'SPM62 …' event.
After: run `npm run fixtures:spm62` so the next tester starts from the same state (never `npx prisma db seed`, which wipes everyone's data).</t>
  </si>
  <si>
    <t>Event: SPM62 Bayu Energy Outlook | Status: Approved | No venue booking, equipment or registrations | Purpose: Brief clients on the 2027 regional energy outlook | Description: Keynote, market briefing and Q&amp;A | Anything else about the space: Reserve the front row for speakers</t>
  </si>
  <si>
    <t>1. Click 'All Events' in the sidebar and open 'SPM62 Bayu Energy Outlook'
2. Click 'Edit event information'
3. Change 'Purpose' to 'Brief clients on the 2027 regional energy outlook'
4. Change 'Description' to 'Keynote, market briefing and Q&amp;A'
5. Change 'Anything else about the space' to 'Reserve the front row for speakers'
6. Click 'Save changes'
7. Click 'Back to event'
8. Click 'Edit event information'</t>
  </si>
  <si>
    <t>SPM-64-TC17-R</t>
  </si>
  <si>
    <t>Registration that is turned off is not an outstanding arrangement, and the event is confirmed once its safety check is approved</t>
  </si>
  <si>
    <t>Step 1: The event page shows the 'Approved' status badge.
Step 5: No amber warning has appeared at any point while editing.
Step 6: No dialog appears. The form is replaced by a green alert 'Event information updated.' and a 'Back to event' link. No 'Flagged for review' alert is shown.
Step 7: The event page shows the subtitle 'Brief clients on the 2027 regional energy outlook' under the title, Description 'Keynote, market briefing and Q&amp;A' in the Details card, and Special requirements 'Reserve the front row for speakers' in the Venue requirements card. The status badge still reads 'Approved' (editing information does not begin planning).
Step 8: The form shows the saved Purpose, Description and 'Anything else about the space' values.</t>
  </si>
  <si>
    <t>Rewritten: the story's SPM-64-TC17 is out of date (SPM-86, SPM-87, SPM-88).
Run npm run fixtures:spm64 before and after this case. 'SPM64 Incomplete Setup Gala' is in Planning, assigned to Daniel Tan, with registration turned on and nothing else set. Logged in as Daniel Tan.</t>
  </si>
  <si>
    <t>Event: SPM64 Incomplete Setup Gala (Planning) | Registration: on -&gt; off</t>
  </si>
  <si>
    <t>1. Click 'All Events' in the sidebar and open 'SPM64 Incomplete Setup Gala'
2. Click 'Change registration settings' on the Registration card
3. Untick 'Attendees need to register for this event'
4. Click 'Save registration settings'
5. Click 'Submit for safety check'
6. Click 'Submit' in the dialog
7. Log out, then log in as hana.yusof@connectsphere.com / password123
8. Click 'Safety Checks' in the sidebar and open 'SPM64 Incomplete Setup Gala'
9. Click 'Record safety decision', choose 'Approve' and click 'Record decision'
10. Log out, then log in as daniel.tan@connectsphere.com / password123
11. Click 'All Events' in the sidebar and open 'SPM64 Incomplete Setup Gala'
12. Click 'Confirm event'
13. Click 'Confirm event' in the dialog</t>
  </si>
  <si>
    <t>SPM-62-TC05</t>
  </si>
  <si>
    <t>A date change on a Planning event flags its venue booking, equipment and registrations without changing them</t>
  </si>
  <si>
    <t>Step 4: 'Registration settings saved.' appears and the card's Registration row reads 'Not enabled for this event'.
Step 5: A dialog 'Submit for safety check?' reads 'SPM64 Incomplete Setup Gala will move to Safety review and the Safety Officer will be notified. Anything still outstanding or flagged for review will be listed instead.'
Step 6: 'The event has been submitted for a safety check. The Safety Officer has been notified.' is shown and the status badge reads 'Safety review'.
Step 9: 'Safety check approved. The coordinator has been notified.' is shown and the status badge reads 'Safety approved'.
Step 11: The status badge reads 'Safety approved' and the 'Confirm event' button is shown.
Step 12: A dialog 'Confirm this event?' reads 'SPM64 Incomplete Setup Gala will be marked Confirmed, and the organiser will be able to see the venue and equipment arranged for it. Anything still outstanding will be listed instead.'
Step 13: 'The event is confirmed. The organiser can now see the arrangements.' is shown and the status badge reads 'Confirmed'.</t>
  </si>
  <si>
    <t>AC2, AC4, AC5</t>
  </si>
  <si>
    <t>Total</t>
  </si>
  <si>
    <t>SPM-64-TC19</t>
  </si>
  <si>
    <t>Run before SPM-62-TC06, which continues from this case.
Test data loaded: `npm run fixtures:spm62` has been run from the project folder since the last full `npx prisma db seed` (it only touches the 'SPM62 …' events, never anyone else's data).
Before: run `npm run fixtures:spm62` so 'SPM62 Harbour Leadership Summit' is back in its starting state.
Logged in as Daniel Tan (daniel.tan@connectsphere.com / password123), the coordinator assigned to every 'SPM62 …' event.
After: if you are running SPM-62-TC06 next, go straight to it - it checks this change as the organiser. Otherwise run `npm run fixtures:spm62` so the next tester starts from the same state (never `npx prisma db seed`, which wipes everyone's data).</t>
  </si>
  <si>
    <t>Lowering the capacity below the attendees holding a place saves it and flags the registrations</t>
  </si>
  <si>
    <t>AC9</t>
  </si>
  <si>
    <t>Event: SPM62 Harbour Leadership Summit | Status: Planning | When: 17 Mar 2027, 09:00–17:00 -&gt; 24 Mar 2027, 09:00–17:00 | Approved booking: Orchard Seminar Room (ORC-SEM) on 17 Mar 2027 | Equipment: 4K Portable Projector x 2, Reserved | Registrations: 12 attendees registered</t>
  </si>
  <si>
    <t>Event: SPM64 Full House Masterclass | 12 registered, 3 waitlisted, 2 withdrawn (15 hold a place) | Capacity: 20 -&gt; 14</t>
  </si>
  <si>
    <t>1. Click 'All Events' in the sidebar and open 'SPM62 Harbour Leadership Summit'
2. Click 'Edit event information'
3. Change 'Starts at' to 24 Mar 2027, 09:00
4. Change 'Ends at' to 24 Mar 2027, 17:00
5. Click 'Save changes'
6. Click 'Back to event'
7. Click the 'Venue' tab
8. Click the 'Equipment' tab</t>
  </si>
  <si>
    <t>1. Click 'All Events' in the sidebar and open 'SPM64 Full House Masterclass'
2. Click 'Change registration settings' on the Registration card
3. Change 'Registration capacity' to 14
4. Click 'Save registration settings'</t>
  </si>
  <si>
    <t>Step 4: 'Registration settings saved.' appears with a 'Flagged for review' list holding one line: 'Registrations: 15 attendees – the registration capacity was lowered below the number registered or waitlisted'. The card shows 'Capacity: 14'.</t>
  </si>
  <si>
    <t>Step 1: The event page shows the 'Planning' status badge, 'When' 17 Mar 2027, 09:00–17:00, and Venue 'Orchard Seminar Room (ORC-SEM)'.
Step 5: No dialog appears. The form is replaced by a green alert 'Event information updated.' and a 'Back to event' link. Below it, an amber alert 'Flagged for review' reads 'These were arranged for the event's earlier details and have not been changed.' and lists three lines: 'Venue booking: Orchard Seminar Room (ORC-SEM) – the date or time changed'; 'Equipment: 4K Portable Projector × 2 – the date or time changed'; 'Registrations: 12 attendees – the date or time changed'.
Step 6: The Details card shows 'When' '24 Mar 2027, 09:00–17:00' and still shows Venue 'Orchard Seminar Room (ORC-SEM)'. The status badge still reads 'Planning'.
Step 7: The booking for Orchard Seminar Room (ORC-SEM) is still shown on 17 Mar 2027 with the 'Approved' badge. It has not been moved to 24 Mar 2027 or cancelled.
Step 8: '4K Portable Projector', quantity 2, is still listed with the 'Reserved' badge.</t>
  </si>
  <si>
    <t>SPM-64-TC23</t>
  </si>
  <si>
    <t>The organiser and a colleague from their company see the settings but can't change them</t>
  </si>
  <si>
    <t>AC10</t>
  </si>
  <si>
    <t>Test data loaded: `npm run fixtures:spm64` has been run from the project folder since the last full `npx prisma db seed` (it only touches the 'SPM64 …' events, never anyone else's data).
Nothing is saved in this case.
Start logged in as Evelyn Chen (evelyn.chen@straitsmedic.com / password123), who organised every 'SPM64 …' event.</t>
  </si>
  <si>
    <t>SPM-62-TC06</t>
  </si>
  <si>
    <t>The organiser sees the event's new date</t>
  </si>
  <si>
    <t>Events: SPM64 Twin Room Workshop (registration off), SPM64 Closed Registration Seminar (on, capacity 50, 1 Aug 2026 09:00 – 30 Sept 2026 17:00) | Organiser: Evelyn Chen | Colleague: Raj Kumar (Straits Medical Institute)</t>
  </si>
  <si>
    <t>1. Click 'My Events' in the sidebar and open 'SPM64 Twin Room Workshop'
2. Click 'My Events' in the sidebar and open 'SPM64 Closed Registration Seminar'
3. Log out and log in as Raj Kumar (raj.kumar@straitsmedic.com / password123), from the same company
4. Click 'My Events' in the sidebar and open 'SPM64 Closed Registration Seminar'</t>
  </si>
  <si>
    <t>Run straight after SPM-62-TC05 - do not reset the fixtures in between.
SPM-62-TC05 has just been run ('SPM62 Harbour Leadership Summit' moved to 24 Mar 2027 by Daniel Tan; its arrangements flagged for review).
Logged in as Evelyn Chen (evelyn.chen@straitsmedic.com / password123), Event Organiser of 'SPM62 Harbour Leadership Summit'.
After: run `npm run fixtures:spm62` so the next tester starts from the same state (never `npx prisma db seed`, which wipes everyone's data).</t>
  </si>
  <si>
    <t>Step 1: The Registration card shows 'Registration: Not enabled for this event' and no 'Change registration settings' button.
Step 2: The card shows 'Registration: Enabled', 'Capacity: 50', 'Measured against: Orchard Seminar Room (ORC-SEM), Classroom layout – up to 70', 'Opens: 1 Aug 2026, 09:00' and 'Closes: 30 Sept 2026, 17:00', with no 'Change registration settings' button.
Step 4: The same values as in step 2, with no 'Change registration settings' button.</t>
  </si>
  <si>
    <t>Event: SPM62 Harbour Leadership Summit (Planning) | Organiser: Evelyn Chen</t>
  </si>
  <si>
    <t>1. Click 'My Events' in the sidebar and open 'SPM62 Harbour Leadership Summit'</t>
  </si>
  <si>
    <t>Step 1: The event page shows the 'Planning' status badge and 'When' '24 Mar 2027, 09:00–17:00'. Venue still reads 'Orchard Seminar Room (ORC-SEM)'.</t>
  </si>
  <si>
    <t>SPM-51  Register for Event  -  run npm run fixtures:spm51 before its first case</t>
  </si>
  <si>
    <t>SPM-62-TC09</t>
  </si>
  <si>
    <t>A date change on a Confirmed event moves it back to Planning and flags its arrangements</t>
  </si>
  <si>
    <t>SPM-51-TC01</t>
  </si>
  <si>
    <t>AC2, AC5, AC6</t>
  </si>
  <si>
    <t>Browse Events lists the Confirmed events with registration enabled, each with its registration state</t>
  </si>
  <si>
    <t>Meaning</t>
  </si>
  <si>
    <t>Test data loaded: `npm run fixtures:spm51` has been run from the project folder since the last full `npx prisma db seed` (it only touches the 'SPM51 …' events, never anyone else's data).
Logged in as Chua Mei Ling (chua.mei.ling@example.com / password123), an Attendee.
Nothing is saved in this case.</t>
  </si>
  <si>
    <t>Test data loaded: `npm run fixtures:spm62` has been run from the project folder since the last full `npx prisma db seed` (it only touches the 'SPM62 …' events, never anyone else's data).
Before: run `npm run fixtures:spm62` so 'SPM62 Straits Pharmacy Forum' is back to Confirmed.
Logged in as Daniel Tan (daniel.tan@connectsphere.com / password123), the coordinator assigned to every 'SPM62 …' event.
After: run `npm run fixtures:spm62` so the next tester starts from the same state (never `npx prisma db seed`, which wipes everyone's data).</t>
  </si>
  <si>
    <t>Attendee: Chua Mei Ling | Today: after 1 Sept 2026 and before 1 Nov 2027</t>
  </si>
  <si>
    <t>1. Click 'Browse Events' in the sidebar</t>
  </si>
  <si>
    <t>Event: SPM62 Straits Pharmacy Forum | Status: Confirmed | When: 9 Jun 2027, 09:00–17:00 -&gt; 16 Jun 2027, 09:00–17:00 | Approved booking: Marina Auditorium (MAR-AUD) | Equipment: Powered Speaker x 2, Reserved | Registrations: 20 attendees registered</t>
  </si>
  <si>
    <t>1. Click 'All Events' in the sidebar and open 'SPM62 Straits Pharmacy Forum'
2. Click 'Edit event information'
3. Change 'Starts at' to 16 Jun 2027, 09:00
4. Change 'Ends at' to 16 Jun 2027, 17:00
5. Click 'Save changes'
6. Click 'Save and move to Planning'
7. Click 'Back to event'
8. Click 'All Events' in the sidebar</t>
  </si>
  <si>
    <t>Step 1: The 'Browse Events' page opens. Among the events listed are 'SPM51 Harbour Open House' and 'SPM51 Last Seat Masterclass' with the badge 'Open', 'SPM51 Early Bird Seminar' with 'Not open yet' and 'Opens 1 Nov 2027, 09:00' beside it, 'SPM51 Closed Doors Workshop' with 'Closed', 'SPM51 Undated Talk' with 'Dates not set' and 'SPM51 Sold Out Summit' with 'Full'. Each shows its date and time and the company 'Straits Medical Institute'. 'SPM51 Private Board Dinner' (registration off) and 'SPM51 Planning Stage Forum' (not Confirmed) are not listed.</t>
  </si>
  <si>
    <t>Step 1: The event page shows the 'Confirmed' status badge, and there is no 'Confirm event' button.
Step 5: The 'Move this event back to Planning?' dialog appears.
Step 6: The dialog closes. The form is replaced by a green alert 'Event information updated. The event is back in Planning and needs to be confirmed again.' and a 'Back to event' link. Below it, an amber alert 'Flagged for review' reads 'These were arranged for the event's earlier details and have not been changed.' and lists: 'Venue booking: Marina Auditorium (MAR-AUD) – the date or time changed'; 'Equipment: Powered Speaker × 2 – the date or time changed'; 'Registrations: 20 attendees – the date or time changed'.
Step 7: The event page shows the 'Planning' status badge, 'When' '16 Jun 2027, 09:00–17:00' and Status 'Planning' in the Details card, and a 'Confirm event' button at the top of the page.
Step 8: The 'SPM62 Straits Pharmacy Forum' row shows 'Planning' in the Status column.</t>
  </si>
  <si>
    <t>SPM-51-TC02</t>
  </si>
  <si>
    <t>An attendee registers for an eligible event, and the registration is kept</t>
  </si>
  <si>
    <t>AC2, AC5</t>
  </si>
  <si>
    <t>SPM-85  Safety Officer Role and Access  -  run npm run fixtures:spm85 before its first case</t>
  </si>
  <si>
    <t>Test data loaded: `npm run fixtures:spm51` has been run from the project folder since the last full `npx prisma db seed` (it only touches the 'SPM51 …' events, never anyone else's data).
Before and after: run `npm run fixtures:spm51` (never `npx prisma db seed`, which wipes everyone's data).
Logged in as Chua Mei Ling (chua.mei.ling@example.com / password123), an Attendee.</t>
  </si>
  <si>
    <t>Event: SPM51 Harbour Open House (Confirmed, capacity 50, open 1 Sept 2026 09:00 to 31 Dec 2027 17:00) | Dietary requirements: Vegetarian</t>
  </si>
  <si>
    <t>The app matches the expected result.</t>
  </si>
  <si>
    <t>1. Click 'Browse Events' in the sidebar
2. Click 'SPM51 Harbour Open House'
3. Enter 'Vegetarian' in 'Dietary requirements'
4. Click 'Register'
5. Reload the page</t>
  </si>
  <si>
    <t>Step 2: The event page opens. The Registration card shows 'Registration: Enabled', 'Capacity: 50', 'Opens: 1 Sept 2026, 09:00' and 'Closes: 31 Dec 2027, 17:00'. The 'Your registration' card shows the optional fields 'Dietary requirements' and 'Accessibility requirements' and a 'Register' button.
Step 4: A green alert 'You're registered for this event.' appears, with the status badge 'Registered'. The Register button is gone.
Step 5: The 'Your registration' card still shows the 'Registered' badge and 'You registered on &lt;today's date&gt;.', with no Register button.</t>
  </si>
  <si>
    <t>SPM-85-TC01</t>
  </si>
  <si>
    <t>SPM-51-TC11</t>
  </si>
  <si>
    <t>A Safety Officer can log in and is shown as a Safety Officer</t>
  </si>
  <si>
    <t>My Registrations lists the attendee's registrations with their status</t>
  </si>
  <si>
    <t>Nothing.</t>
  </si>
  <si>
    <t>npm run fixtures:spm85 has been run (it creates the Safety Officer account Hana Yusof without reseeding). Logged out.</t>
  </si>
  <si>
    <t>Test data loaded: `npm run fixtures:spm51` has been run from the project folder since the last full `npx prisma db seed` (it only touches the 'SPM51 …' events, never anyone else's data).
Logged in as Jocelyn Pang (jocelyn.pang@example.com / password123), an Attendee registered for 'SPM51 Last Seat Masterclass' and on the waiting list for 'SPM51 Sold Out Summit'. (The base seed may register her for other events too; those rows are listed as well.)
Nothing is saved in this case.</t>
  </si>
  <si>
    <t>Email: hana.yusof@connectsphere.com
Password: password123
Role: Safety Officer</t>
  </si>
  <si>
    <t>Attendee: Jocelyn Pang | SPM51 Last Seat Masterclass: registered | SPM51 Sold Out Summit: waitlisted</t>
  </si>
  <si>
    <t>1. Open the Log in page
2. Type hana.yusof@connectsphere.com in Email
3. Type password123 in Password
4. Click 'Log in'</t>
  </si>
  <si>
    <t>1. Click 'My Registrations' in the sidebar
2. Click 'SPM51 Sold Out Summit'</t>
  </si>
  <si>
    <t>Step 4: The Dashboard opens. The account menu at the top shows 'Hana Yusof' with the role 'Safety Officer' underneath.</t>
  </si>
  <si>
    <t>Step 1: The 'My Registrations' page opens with a table of Event, When and Status. 'SPM51 Last Seat Masterclass' (22 Jan 2028, 09:00–17:00) shows the badge 'Registered', and 'SPM51 Sold Out Summit' (29 Jan 2028, 09:00–17:00) shows 'Waiting list'.
Step 2: The 'SPM51 Sold Out Summit' event page opens. The 'Your registration' card shows the 'Waiting list' badge and 'You're on the waiting list.', with no 'Register' button.</t>
  </si>
  <si>
    <t>The app is wrong.</t>
  </si>
  <si>
    <t>SPM-85-TC03</t>
  </si>
  <si>
    <t>SPM-52  Withdraw Registration  -  run npm run fixtures:spm52 before its first case</t>
  </si>
  <si>
    <t>A Safety Officer's sidebar shows only Dashboard, Safety Checks, All Events and Notifications</t>
  </si>
  <si>
    <t>npm run fixtures:spm85 has been run. Logged in as Hana Yusof (Safety Officer).</t>
  </si>
  <si>
    <t>Raise a Jira bug linked to the story and put its key in Notes.</t>
  </si>
  <si>
    <t>Safety Officer: hana.yusof@connectsphere.com
Event: SPM85 Marina Networking Night (Planning)</t>
  </si>
  <si>
    <t>1. Look at the sidebar
2. Click 'All Events' in the sidebar</t>
  </si>
  <si>
    <t>SPM-52-TC01</t>
  </si>
  <si>
    <t>Step 1: The sidebar lists exactly 'Dashboard', 'Safety Checks', 'All Events' and 'Notifications'. 'Review Queue', 'Assignments', 'Venues', 'Booking Requests', 'Equipment', 'Equipment Requests', 'My Events', 'Browse Events' and 'My Registrations' are not shown.
Step 2: The All Events list opens and includes 'SPM85 Marina Networking Night' with the status 'Planning'.</t>
  </si>
  <si>
    <t>The organiser sees how many places are taken and how many attendees have withdrawn</t>
  </si>
  <si>
    <t>Test data loaded: `npm run fixtures:spm52` has been run from the project folder since the last full `npx prisma db seed` (it only touches the 'SPM52 …' events, never anyone else's data), and nobody has withdrawn from 'SPM52 Riverside Forum' since.
Logged in as Evelyn Chen (evelyn.chen@straitsmedic.com / password123), who organised every 'SPM52 …' event.
Nothing is saved in this case.</t>
  </si>
  <si>
    <t>Event: SPM52 Riverside Forum (capacity 10; 4 registered, 1 withdrawn) | Organiser: Evelyn Chen</t>
  </si>
  <si>
    <t>SPM-85-TC06</t>
  </si>
  <si>
    <t>The app differs because a later story changed it on purpose.</t>
  </si>
  <si>
    <t>A Safety Officer sees the event's equipment arrangements read-only</t>
  </si>
  <si>
    <t>1. Click 'My Events' in the sidebar
2. Click 'SPM52 Riverside Forum' in the list</t>
  </si>
  <si>
    <t>AC3, AC4</t>
  </si>
  <si>
    <t>Step 2: The event page opens with the heading 'SPM52 Riverside Forum'. The Registration card shows 'Registration' Enabled, 'Capacity' 10, 'Places taken' '4 of 10 · 6 left' and 'Withdrawn' '1'.</t>
  </si>
  <si>
    <t>Event: SPM85 Harbour Safety Forum
Equipment: Handheld Wireless Mic x4 (Main programme, Reserved), Wheelchair Access Ramp x1 (Main programme, Reserved)</t>
  </si>
  <si>
    <t>1. Click 'Safety Checks' in the sidebar
2. Click 'SPM85 Harbour Safety Forum'
3. Click the 'Equipment' tab</t>
  </si>
  <si>
    <t>Name that story in Notes, and add the case to 'Out-of-date cases' if it is not there already.</t>
  </si>
  <si>
    <t>SPM-52-TC02</t>
  </si>
  <si>
    <t>Step 2: The tab bar shows only 'Overview' and 'Equipment'.
Step 3: The Equipment requirements page lists 'Handheld Wireless Mic' (quantity 4) and 'Wheelchair Access Ramp' (quantity 1), each with the status 'Reserved'. There is no 'Add equipment' section and no 'Remove' button on either row.</t>
  </si>
  <si>
    <t>A registered attendee withdraws from My Registrations, and the registration is shown as Withdrawn</t>
  </si>
  <si>
    <t>Run before SPM-52-TC03, which continues from this case.
Before: run `npm run fixtures:spm52` (never `npx prisma db seed`, which wipes everyone's data).
Do not reset after: SPM-52-TC03 and SPM-52-TC04 continue from this withdrawal; reset after SPM-52-TC04.
Logged in as Marcus Yeo (marcus.yeo@example.com / password123), an Attendee.</t>
  </si>
  <si>
    <t>Attendee: Marcus Yeo | Event: SPM52 Riverside Forum</t>
  </si>
  <si>
    <t>1. Click 'My Registrations' in the sidebar
2. Click 'Withdraw' on the 'SPM52 Riverside Forum' row
3. Click 'Withdraw' in the dialog
4. Refresh the page (F5)</t>
  </si>
  <si>
    <t>The case could not be run, e.g. its test data is missing.</t>
  </si>
  <si>
    <t>Step 1: The 'My Registrations' page lists 'SPM52 Riverside Forum' (4 Mar 2028, 09:00–17:00) with the badge 'Registered' and a 'Withdraw' button.
Step 2: The event page does not open. A dialog asks 'Withdraw from SPM52 Riverside Forum?' and says 'Your place is released and can be taken by someone else. To attend, you would have to register again, and the event may be full by then.', with the buttons 'Keep my place' and 'Withdraw'.
Step 3: The dialog closes. A green message says 'You have withdrawn from SPM52 Riverside Forum.' The row's badge is now 'Withdrawn' and it has no 'Withdraw' button.
Step 4: 'SPM52 Riverside Forum' is still listed with the badge 'Withdrawn' and no 'Withdraw' button.</t>
  </si>
  <si>
    <t>SPM-52-TC03</t>
  </si>
  <si>
    <t>After withdrawing, the event page no longer shows the attendee as registered and offers Register instead</t>
  </si>
  <si>
    <t>Say why in Notes.</t>
  </si>
  <si>
    <t>Run straight after SPM-52-TC02 - do not reset the fixtures in between. Run before SPM-52-TC04, which continues from this case.
SPM-52-TC02 has just been run (Marcus Yeo has withdrawn from 'SPM52 Riverside Forum').
Do not reset after: SPM-52-TC04 continues from the same withdrawal.
Logged in as Marcus Yeo (marcus.yeo@example.com / password123), an Attendee.
Nothing is saved in this case: do not click Register.</t>
  </si>
  <si>
    <t>1. Click 'My Registrations' in the sidebar
2. Click the 'SPM52 Riverside Forum' row</t>
  </si>
  <si>
    <t>Step 2: The event page 'SPM52 Riverside Forum' opens. The 'Your registration' card shows the 'Dietary requirements' and 'Accessibility requirements' fields and a 'Register' button. It shows no 'Registered' badge, no 'You registered on …' line and no 'Withdraw' button.</t>
  </si>
  <si>
    <t>Rules</t>
  </si>
  <si>
    <t>SPM-52-TC04</t>
  </si>
  <si>
    <t>The organiser and the coordinator see one place freed and one more withdrawal after an attendee withdraws</t>
  </si>
  <si>
    <t>Never run npx prisma db seed. Use the fixture script named in the blue row before each story.</t>
  </si>
  <si>
    <t>AC4, AC5</t>
  </si>
  <si>
    <t>Run straight after SPM-52-TC03 - do not reset the fixtures in between.
SPM-52-TC03 has just been run (it follows SPM-52-TC02, in which Marcus Yeo withdrew from 'SPM52 Riverside Forum').
After: run `npm run fixtures:spm52` (never `npx prisma db seed`, which wipes everyone's data).
Nothing is saved in this case.</t>
  </si>
  <si>
    <t>Do not type results into the story workbooks in docs/test-cases/. Everything for this run is in this file.</t>
  </si>
  <si>
    <t>Event: SPM52 Riverside Forum (capacity 10; now 3 registered, 2 withdrawn) | Organiser: Evelyn Chen | Coordinator: Daniel Tan</t>
  </si>
  <si>
    <t>1. Log out and log in as Evelyn Chen (evelyn.chen@straitsmedic.com / password123), who organised every 'SPM52 …' event
2. Click 'My Events' in the sidebar
3. Click 'SPM52 Riverside Forum' in the list
4. Log out and log in as Daniel Tan (daniel.tan@connectsphere.com / password123), the coordinator assigned to every 'SPM52 …' event
5. Click 'All Events' in the sidebar
6. Click 'SPM52 Riverside Forum' in the list</t>
  </si>
  <si>
    <t>If a fix merges after a Fail, rerun the case and add a new row for it under the original. Keep the Fail row.</t>
  </si>
  <si>
    <t>Step 3: The Registration card shows 'Places taken' '3 of 10 · 7 left' and 'Withdrawn' '2' (it was '4 of 10 · 6 left' and '1' before Marcus Yeo withdrew).
Step 6: The Registration card shows 'Places taken' '3 of 10 · 7 left' and 'Withdrawn' '2'.</t>
  </si>
  <si>
    <t>SPM-52-TC05</t>
  </si>
  <si>
    <t>Withdrawing from a full event from its event page frees the place, so another attendee can register</t>
  </si>
  <si>
    <t>AC1, AC3, AC4</t>
  </si>
  <si>
    <t>Before and after: run `npm run fixtures:spm52` (never `npx prisma db seed`, which wipes everyone's data).
Logged in as Marcus Yeo (marcus.yeo@example.com / password123), an Attendee.</t>
  </si>
  <si>
    <t>Event: SPM52 Last Place Clinic (capacity 2; Marcus Yeo and Anita Devi registered) | Attendees: Marcus Yeo, Tan Jia Hui</t>
  </si>
  <si>
    <t>1. Click 'Browse Events' in the sidebar
2. Click 'SPM52 Last Place Clinic'
3. Click 'Withdraw' in the 'Your registration' card
4. Click 'Withdraw' in the dialog
5. Click 'Browse Events' in the sidebar
6. Log out and log in as Tan Jia Hui (tan.jia.hui@example.com / password123), an Attendee
7. Click 'Browse Events' in the sidebar
8. Click 'SPM52 Last Place Clinic'
9. Click 'Register'</t>
  </si>
  <si>
    <t>Step 1: 'SPM52 Last Place Clinic' is listed with the badge 'Full'.
Step 2: The event page opens. The 'Your registration' card shows the badge 'Registered', 'You registered on &lt;date&gt;.' and a 'Withdraw' button.
Step 3: A dialog asks 'Withdraw from SPM52 Last Place Clinic?' with the buttons 'Keep my place' and 'Withdraw'.
Step 4: The dialog closes. The card shows a green 'You have withdrawn from this event.' and now offers the 'Dietary requirements' and 'Accessibility requirements' fields and a 'Register' button.
Step 5: 'SPM52 Last Place Clinic' now has the badge 'Open'.
Step 8: The 'Your registration' card offers a 'Register' button, not 'This event is full.'.
Step 9: A green message says 'You're registered for this event.' and the card shows the badge 'Registered'.</t>
  </si>
  <si>
    <t>Janelle's cases: Venue catalogue, availability and notifications</t>
  </si>
  <si>
    <t>SPM-39  Manage Venue Catalogue  -  uses the base seed data (no fixture script)</t>
  </si>
  <si>
    <t>SPM-39-TC01</t>
  </si>
  <si>
    <t>Venue Staff can create a venue record</t>
  </si>
  <si>
    <t>Demo data loaded (16 venues).
Logged in as Venue Staff: marcus.wong@connectsphere.com / password123</t>
  </si>
  <si>
    <t>Code: TEST-01
Name: Test Meeting Room
Building: Marina Bay
Maximum capacity: 24</t>
  </si>
  <si>
    <t>1. Click 'Venues' in the sidebar
2. Click 'Add venue'
3. Enter the code, name, building and maximum capacity
4. Click 'Add venue'</t>
  </si>
  <si>
    <t>The Venues list reopens and now shows 17 venues.
'Test Meeting Room' appears with code TEST-01, Location 'Marina Bay', Max capacity 24, Layouts 'None set' in amber, Status 'Active'.</t>
  </si>
  <si>
    <t>SPM-39-TC05</t>
  </si>
  <si>
    <t>Location, capacity, facilities and accessibility are all recorded and persist</t>
  </si>
  <si>
    <t>Venue 'Test Meeting Room' (TEST-01) exists from TC01.
Logged in as Venue Staff: marcus.wong@connectsphere.com / password123</t>
  </si>
  <si>
    <t>Floor: L2
Address: 10 Marina Boulevard
Maximum capacity: 32
Facilities: High-density WiFi, Natural light
Accessibility: Hearing induction loop, Step-free access</t>
  </si>
  <si>
    <t>1. Click 'Venues' in the sidebar
2. Click the 'Test Meeting Room' row
3. Enter the floor and address
4. Change Maximum capacity
5. Under 'This venue has', tick 'High-density WiFi' and 'Natural light'
6. Under 'Accessibility', tick 'Hearing induction loop' and 'Step-free access'
7. Click 'Save changes'
8. Click 'Back to Venues', then reopen 'Test Meeting Room'</t>
  </si>
  <si>
    <t>A green message 'Changes saved — No approved bookings were affected, so nobody needs to be notified.' appears.
On reopening, Floor shows 'L2', Address '10 Marina Boulevard', Maximum capacity 32, and all four tick boxes are still ticked.
The Venues list shows Location as 'Marina Bay — L2'.</t>
  </si>
  <si>
    <t>SPM-39-TC07</t>
  </si>
  <si>
    <t>Several layouts are recorded, each with its own capacity</t>
  </si>
  <si>
    <t>Venue 'Test Meeting Room' (TEST-01) exists with no layouts.
Logged in as Venue Staff: marcus.wong@connectsphere.com / password123</t>
  </si>
  <si>
    <t>Layout 1 — Boardroom, Seats: 20
Layout 2 — U-shape, Seats: 14</t>
  </si>
  <si>
    <t>1. Open 'Test Meeting Room' from the Venues list
2. Click 'Add a layout'
3. Choose the layout and enter its seats
4. Click 'Add a layout' again
5. Choose the second layout and enter its seats
6. Click 'Save changes'
7. Click 'Back to Venues', then reopen 'Test Meeting Room'</t>
  </si>
  <si>
    <t>On reopening, both rows are shown: Boardroom with 20 seats and U-shape with 14 seats, each keeping its own value.
The Venues list shows Layouts as '2 (max 20 seated)' for this venue.</t>
  </si>
  <si>
    <t>SPM-39-TC10</t>
  </si>
  <si>
    <t>Opening hours and turnaround times are recorded</t>
  </si>
  <si>
    <t>Venue 'Test Meeting Room' (TEST-01) exists.
Logged in as Venue Staff: marcus.wong@connectsphere.com / password123</t>
  </si>
  <si>
    <t>Opens at: 07:00
Closes at: 23:00
Setup minutes: 45
Teardown minutes: 30</t>
  </si>
  <si>
    <t>1. Open 'Test Meeting Room' from the Venues list
2. Set 'Opens at' and 'Closes at'
3. Set 'Setup minutes' and 'Teardown minutes'
4. Click 'Save changes'
5. Click 'Back to Venues', then reopen 'Test Meeting Room'</t>
  </si>
  <si>
    <t>On reopening, Opens at shows 07:00, Closes at 23:00, Setup minutes 45 and Teardown minutes 30.
The Venues list shows Hours as '07:00–23:00' for this venue.</t>
  </si>
  <si>
    <t>When editing opening and closing time its in 12h format, but Venues list displays time in 24h format</t>
  </si>
  <si>
    <t>SPM-39-TC13</t>
  </si>
  <si>
    <t>Venue Staff can update an existing venue</t>
  </si>
  <si>
    <t>Demo data loaded.
Logged in as Venue Staff: marcus.wong@connectsphere.com / password123</t>
  </si>
  <si>
    <t>Description: Workshop room with benches, heavy power supply and a new sink</t>
  </si>
  <si>
    <t>1. Click 'Venues' in the sidebar
2. Click the 'Orchard Studio' row
3. Change the Description
4. Click 'Save changes'
5. Click 'Back to Venues', then reopen 'Orchard Studio'</t>
  </si>
  <si>
    <t>A green message 'Changes saved — No approved bookings were affected. No approved bookings were affected, so nobody needed to be notified.' appears at the top of the page.
The page stays on the venue rather than navigating away.
On reopening, the new description is shown.</t>
  </si>
  <si>
    <t>SPM-39-TC15</t>
  </si>
  <si>
    <t>A retired venue is no longer offered to a Coordinator</t>
  </si>
  <si>
    <t>Venue 'Test Meeting Room' (TEST-01) exists, is active and has no bookings.
Logged in as Venue Staff: marcus.wong@connectsphere.com / password123</t>
  </si>
  <si>
    <t>Reason: Closed for renovation until March</t>
  </si>
  <si>
    <t>1. Open 'Test Meeting Room' from the Venues list
2. Click 'Retire venue'
3. Enter a reason in the confirmation dialog
4. Click 'Retire venue' in the dialog
5. Click 'Log out', then log in as daniel.tan@connectsphere.com / password123
6. Click 'Venues' in the sidebar
7. Open the 'Show' filter</t>
  </si>
  <si>
    <t>For Venue Staff the venue page gains a 'Retired' label, an amber 'This venue is retired' panel, and the button changes to 'Restore venue'.
For the Coordinator, 'Test Meeting Room' does not appear in the Venues list at all.
The Coordinator's 'Show' filter offers only 'All venues' and 'Active only' — there is no 'Retired only' option.</t>
  </si>
  <si>
    <t>SPM-39-TC17</t>
  </si>
  <si>
    <t>Reducing a layout below an approved booking's attendance flags that booking</t>
  </si>
  <si>
    <t>Demo data freshly loaded — no flag can be cleared from the app, so reload the demo data before this test.
One-North Seminar Room (ONE-SEM) seats 80 theatre-style and has one approved future booking: 'Tanjong Legal CPD Seminar' on 3 Nov 2026, whose event expects 70 people. Its coordinator is Joel Fernandez.
Logged in as Venue Staff: marcus.wong@connectsphere.com / password123</t>
  </si>
  <si>
    <t>Theatre seats: change 80 to 60 (the event expects 70)</t>
  </si>
  <si>
    <t>1. Open 'One-North Seminar Room' from the Venues list
2. Change the Theatre layout's Seats value
3. Click 'Save changes'</t>
  </si>
  <si>
    <t>An amber panel appears at the top: 'Changes saved — 1 booking flagged for review, coordinators notified'.
It states the bookings have NOT been changed and that each is flagged for its coordinator to decide what to do.
It lists 'Tanjong Legal CPD Seminar: the booked layout no longer seats the expected attendance'.
The new seats value of 60 is saved and shown on the form.</t>
  </si>
  <si>
    <t>SPM-40  Search and Filter Suitable Venues  -  uses the base seed data (no fixture script)</t>
  </si>
  <si>
    <t>SPM-40-TC13</t>
  </si>
  <si>
    <t>All six filters combined, then Clear filters</t>
  </si>
  <si>
    <t>AC1, AC2, AC3, AC4, AC5, AC6, AC7</t>
  </si>
  <si>
    <t>Logged in as Coordinator Daniel Tan (daniel.tan@connectsphere.com / password123).
On the Find a venue page (Venues &gt; Find a venue) with all filters cleared.</t>
  </si>
  <si>
    <t>From: 1 Mar 2027, 09:00 (9:00 am)
To: 1 Mar 2027, 12:00 (12:00 pm)
Expected attendance: 100
Location: Marina Centre
Room layout: Theatre
Accessibility: Step-free access, Hearing induction loop
Facilities: Built-in PA system</t>
  </si>
  <si>
    <t>1. Enter From = 1 Mar 2027, 09:00 (9:00 am), To = 1 Mar 2027, 12:00 (12:00 pm)
2. Enter 100 in 'Expected attendance'
3. Choose 'Marina Centre' in 'Location' and 'Theatre' in 'Room layout'
4. Tick 'Step-free access' and 'Hearing induction loop' under Accessibility requirements
5. Tick 'Built-in PA system' under Required facilities
6. Click 'Search'
7. Click 'Clear filters'</t>
  </si>
  <si>
    <t>After Search: only Marina Auditorium (MAR-AUD, theatre 220) then Marina Grand Hall (MAR-GH, theatre 500); the Theatre capacity is bold and the three ticked items are green chips.
After Clear filters: every filter is empty and '16 of 16 venues match'.</t>
  </si>
  <si>
    <t>SPM-41  Check Venue Suitability  -  uses the base seed data (no fixture script)</t>
  </si>
  <si>
    <t>SPM-41-TC05</t>
  </si>
  <si>
    <t>The same attendance gets a different result under a different layout</t>
  </si>
  <si>
    <t>AC1, AC4</t>
  </si>
  <si>
    <t>Logged in as Coordinator Priya Raj (priya.raj@connectsphere.com / password123), who is assigned to the test event 'SPM41 Layout Theatre' (status Under review, requested by Rachel Ng, rachel.ng@meridianfina.com; dated 18 Mar 2027 09:00-17:00 with no venue bookings on that day).
A second test event 'SPM41 Layout Classroom' has the same organiser, coordinator and date.
Both events expect 100 people and require no facilities. 'SPM41 Layout Theatre' prefers Theatre; 'SPM41 Layout Classroom' prefers Classroom.
Seed data loaded: Orchard Seminar Room (ORC-SEM) has Theatre capacity 120 and Classroom capacity 70.</t>
  </si>
  <si>
    <t>Expected attendance: 100 for both events
Event 1 layout: Theatre (capacity 120)
Event 2 layout: Classroom (capacity 70)</t>
  </si>
  <si>
    <t>1. Open the event 'SPM41 Layout Theatre'
2. Open the Find a venue page for the event
3. Note the result shown for 'Orchard Seminar Room (ORC-SEM)'
4. Go back and open the event 'SPM41 Layout Classroom'
5. Open the Find a venue page for the event
6. Note the result shown for 'Orchard Seminar Room (ORC-SEM)'</t>
  </si>
  <si>
    <t>For 'SPM41 Layout Theatre', Orchard Seminar Room is shown as Suitable.
For 'SPM41 Layout Classroom', it is NOT Suitable and the reason states the Classroom capacity of 70 against 100 expected.</t>
  </si>
  <si>
    <t>SPM-41-TC06</t>
  </si>
  <si>
    <t>Venue with all required facilities is suitable</t>
  </si>
  <si>
    <t>Logged in as Coordinator Priya Raj (priya.raj@connectsphere.com / password123), who is assigned to the test event 'SPM41 Hybrid Forum VC+Live' (status Under review, requested by Rachel Ng, rachel.ng@meridianfina.com; dated 18 Mar 2027 09:00-17:00 with no venue bookings on that day).
The event expects 100 people, layout Theatre, required facilities: Video conferencing suite and Livestream capability, on a date with no bookings.
Seed data loaded: Changi Conference Centre (CBP-CONF) has both facilities and Theatre capacity 260.</t>
  </si>
  <si>
    <t>Required facilities: Video conferencing suite, Livestream capability
Expected attendance: 100
Layout: Theatre</t>
  </si>
  <si>
    <t>1. Open the event 'SPM41 Hybrid Forum VC+Live'
2. Open the Find a venue page for the event
3. Find 'Changi Conference Centre (CBP-CONF)' in the results</t>
  </si>
  <si>
    <t>Changi Conference Centre is shown as Suitable.
No 'not met' reason is shown for it.</t>
  </si>
  <si>
    <t>SPM-41-TC09</t>
  </si>
  <si>
    <t>Venue with all required accessibility features is suitable</t>
  </si>
  <si>
    <t>Logged in as Coordinator Priya Raj (priya.raj@connectsphere.com / password123), who is assigned to the test event 'SPM41 Open Lecture 200' (status Under review, requested by Rachel Ng, rachel.ng@meridianfina.com; dated 18 Mar 2027 09:00-17:00 with no venue bookings on that day).
The event expects 200 people, layout Theatre, required accessibility features: Hearing induction loop and Wheelchair spaces, on a date with no bookings.
Seed data loaded: Marina Auditorium (MAR-AUD) has both and Theatre capacity 220.</t>
  </si>
  <si>
    <t>Required accessibility: Hearing induction loop, Wheelchair spaces
Expected attendance: 200
Layout: Theatre</t>
  </si>
  <si>
    <t>1. Open the event 'SPM41 Open Lecture 200'
2. Open the Find a venue page for the event
3. Find 'Marina Auditorium (MAR-AUD)' in the results</t>
  </si>
  <si>
    <t>Marina Auditorium is shown as Suitable.
No 'not met' reason is shown for it.</t>
  </si>
  <si>
    <t>SPM-45  Record Venue Unavailability  -  run npm run fixtures:spm45 before its first case</t>
  </si>
  <si>
    <t>SPM-45-TC01</t>
  </si>
  <si>
    <t>A venue is marked unavailable for part of a day, by date and time, with a reason</t>
  </si>
  <si>
    <t>AC1, AC6</t>
  </si>
  <si>
    <t>Fixtures: 'SPM45 Dates Room' (SPM45-DAT) is active, has no setup or turnaround time, no bookings and no unavailable period.
If it is missing, or has periods left by an earlier run, run: npm run fixtures:spm45 (adds or resets the SPM45 test data without a reseed).
This case records a period. The Dates Room cases (SPM-45-TC01 to TC08) can be run one after another without a reset; run npm run fixtures:spm45 after the last one you run.</t>
  </si>
  <si>
    <t>Venue: SPM45 Dates Room (SPM45-DAT)
Unavailable from: 10 Jun 2027, 09:00
Available again: 10 Jun 2027, 17:30
Reason: Maintenance</t>
  </si>
  <si>
    <t>1. Log in as marcus.wong@connectsphere.com / password123
2. Click 'Venues' in the sidebar
3. Click the 'SPM45 Dates Room' row
4. Click 'Mark unavailable'
5. Set 'Unavailable from' to 10 Jun 2027 and 'From time' to 09:00
6. Set 'Available again on' to 10 Jun 2027 and 'Available again at' to 17:30
7. In 'Reason', choose 'Maintenance'
8. In the dialog, click 'Mark unavailable'
9. Click 'View availability'
10. Set 'From' to 9 Jun 2027 and 'To' to 11 Jun 2027
11. Click 'Show availability'</t>
  </si>
  <si>
    <t>Step 3: The page has an 'Unavailable periods' section with a 'Mark unavailable' button and the text 'No unavailable periods under way or coming up.'
Step 4: A dialog titled 'Mark SPM45 Dates Room unavailable' appears. It has the empty date fields 'Unavailable from' and 'Available again on', the empty time fields 'From time' and 'Available again at', and a 'Reason' picker showing 'Choose a reason' and offering Maintenance, Equipment failure, Renovation, Safety, Internal activity and Other. There are no AM, PM or Night options. It says that no booking is cancelled or moved.
Step 8: The dialog closes. A green 'Unavailable period saved' message reads 'No approved bookings were affected, so nobody needed to be notified.' Under 'Unavailable periods' a period is listed: 'Maintenance', 'Unavailable from 10 Jun 2027, 09:00. Available again from 10 Jun 2027, 17:30.', with the buttons 'Change period' and 'End period'. There is no 'Retired' label beside the venue's name.
Step 11: The 9 Jun 2027 row shows 'Free'. The 10 Jun 2027 row lists 'Unavailable 09:00–17:30 · Maintenance' and nothing else. The 11 Jun 2027 row shows 'Free'. The 'Unavailable periods' card lists 'Maintenance' with '10 Jun 2027, 09:00–17:30'.</t>
  </si>
  <si>
    <t>SPM-45-TC07</t>
  </si>
  <si>
    <t>A period with an Other reason is saved and shows what was typed</t>
  </si>
  <si>
    <t>Run before SPM-45-TC08, which continues from this case.
Fixtures: 'SPM45 Dates Room' (SPM45-DAT) is active and has no bookings. It has no unavailable period on 25 Jul 2027.
If it is missing, or has periods left by an earlier run, run: npm run fixtures:spm45 (adds or resets the SPM45 test data without a reseed).
This case records a period. Go straight on to SPM-45-TC08; run npm run fixtures:spm45 after the last Dates Room case you run.</t>
  </si>
  <si>
    <t>Venue: SPM45 Dates Room (SPM45-DAT)
Unavailable from: 25 Jul 2027, 09:00
Available again: 26 Jul 2027, 09:00
Reason: Other
Other reason: Film crew on site</t>
  </si>
  <si>
    <t>1. Log in as marcus.wong@connectsphere.com / password123
2. Click 'Venues' in the sidebar
3. Click the 'SPM45 Dates Room' row
4. Click 'Mark unavailable'
5. Set 'Unavailable from' to 25 Jul 2027 and 'From time' to 09:00
6. Set 'Available again on' to 26 Jul 2027 and 'Available again at' to 09:00
7. In 'Reason', choose 'Other'
8. Type the reason into 'Other reason'
9. In the dialog, click 'Mark unavailable'
10. Click 'View availability'
11. Set 'From' and 'To' to 25 Jul 2027
12. Click 'Show availability'</t>
  </si>
  <si>
    <t>Step 9: The dialog closes. A green 'Unavailable period saved' message appears. Under 'Unavailable periods' a period is listed: 'Other', 'Film crew on site', 'Unavailable from 25 Jul 2027, 09:00. Available again from 26 Jul 2027, 09:00.'
Step 12: The 25 Jul 2027 row lists 'Unavailable 09:00–24:00 · Other'. The 'Unavailable periods' card lists 'Other', 'Film crew on site', '25 Jul 2027, 09:00 – 26 Jul 2027, 09:00'.</t>
  </si>
  <si>
    <t>SPM-45-TC08</t>
  </si>
  <si>
    <t>Changing a period's reason from Other to a listed one drops the typed reason</t>
  </si>
  <si>
    <t>Run straight after SPM-45-TC07 - do not reset the fixtures in between.
SPM-45-TC07 has just been run (SPM45 Dates Room has the period 25 Jul 2027, 09:00 to 26 Jul 2027, 09:00, reason Other, 'Film crew on site').
Still logged in as Venue Staff Marcus Wong.
After this case run npm run fixtures:spm45: it removes every period the Dates Room cases recorded.</t>
  </si>
  <si>
    <t>Venue: SPM45 Dates Room (SPM45-DAT)
Period: 25 Jul 2027, 09:00 to 26 Jul 2027, 09:00
Reason: Other changed to Internal activity</t>
  </si>
  <si>
    <t>1. Click 'Venues' in the sidebar
2. Click the 'SPM45 Dates Room' row
3. Click 'Change period' on the period for 25 Jul 2027
4. In 'Reason', choose 'Internal activity'
5. In the dialog, click 'Save period'</t>
  </si>
  <si>
    <t>Step 3: A dialog titled 'Change unavailable period' appears, filled in with 25 Jul 2027 and 09:00; 26 Jul 2027 and 09:00; the reason 'Other' and 'Film crew on site' in 'Other reason'.
Step 4: The 'Other reason' field disappears.
Step 5: The dialog closes. A green 'Unavailable period changed' message reads 'No approved bookings were affected, so nobody needed to be notified.' The period now reads 'Internal activity', 'Unavailable from 25 Jul 2027, 09:00. Available again from 26 Jul 2027, 09:00.', and 'Film crew on site' is no longer shown.</t>
  </si>
  <si>
    <t>SPM-45-TC17</t>
  </si>
  <si>
    <t>A venue is available again from the stated time without anyone ending the period</t>
  </si>
  <si>
    <t>Fixtures: 'SPM45 Reopened Room' (SPM45-BAK) has an unavailable period that has passed: Maintenance, unavailable from 1 Sep 2026, 00:00, available again from 1 Oct 2026, 12:00. Nobody has ended or changed it, and the room has no bookings.
If it is missing, run: npm run fixtures:spm45 (adds or resets the SPM45 test data without a reseed).
This case changes nothing.</t>
  </si>
  <si>
    <t>Venue: SPM45 Reopened Room (SPM45-BAK)
Period (set by the fixture script): Maintenance, 1 Sep 2026, 00:00 to 1 Oct 2026, 12:00
Calendar range: 30 Sep 2026 to 1 Oct 2026</t>
  </si>
  <si>
    <t>1. Log in as marcus.wong@connectsphere.com / password123
2. Click 'Venues' in the sidebar
3. Click the 'SPM45 Reopened Room' row
4. Click 'View availability'
5. Set 'From' to 30 Sep 2026 and 'To' to 1 Oct 2026
6. Click 'Show availability'</t>
  </si>
  <si>
    <t>Step 2: 'SPM45 Reopened Room' is listed with the status 'Active'.
Step 3: Under 'Unavailable periods' the text 'No unavailable periods under way or coming up.' is shown: the period is over, so there is nothing to end.
Step 6: The 30 Sep 2026 row lists 'Unavailable 00:00–24:00 · Maintenance'. The 1 Oct 2026 row lists 'Unavailable 00:00–12:00 · Maintenance' and nothing after 12:00: the room came back at the time that was stated.</t>
  </si>
  <si>
    <t>SPM-46  View Venue Availability  -  uses the base seed data (no fixture script)</t>
  </si>
  <si>
    <t>SPM-46-TC01-R</t>
  </si>
  <si>
    <t>Open a venue's availability and read each day's schedule at its actual times</t>
  </si>
  <si>
    <t>Rewritten: the story's SPM-46-TC01 is out of date (SPM-93).
Base seed data (no fixture script). Marina Grand Hall (MAR-GH) has an Approved booking for 'Straits Medical Research Symposium' on 7 Dec 2026, 09:00-18:00. Logged in as Marcus Wong.</t>
  </si>
  <si>
    <t>Venue: Marina Grand Hall (MAR-GH), then Jurong Expo Floor (JUR-EXP) | From 7 Dec 2026 To 13 Dec 2026</t>
  </si>
  <si>
    <t>1. Click 'Venues' in the sidebar
2. On the 'Marina Grand Hall' row, click 'View availability'
3. Set 'From' to 7 Dec 2026 and 'To' to 13 Dec 2026, then click 'Show availability'
4. Choose 'Jurong Expo Floor (JUR-EXP)' in the 'Venue' picker and click 'Show availability'</t>
  </si>
  <si>
    <t>Step 2: The page 'Marina Grand Hall availability' opens on the 7 days from today, with 'From' and 'To' filled in. The subtitle ends 'open 07:00–23:00 · setup 180 min, turnaround 120 min'. The grid has two columns, 'Day' and 'Schedule' - no AM, PM or Night columns.
Step 3: Seven rows, Mon 7 Dec 2026 to Sun 13 Dec 2026. 7 Dec lists 'Setup 06:00–09:00', 'Booked 09:00–18:00' and 'Turnaround 18:00–20:00', each '· Straits Medical Research Symposium'. 8 to 13 Dec show 'Free'.
Step 4: The title changes to 'Jurong Expo Floor availability' with 'open 06:00–23:00 · setup 240 min, turnaround 180 min', the range stays 7–13 Dec 2026, and every day shows 'Free'.</t>
  </si>
  <si>
    <t>SPM-46-TC09-R</t>
  </si>
  <si>
    <t>Two overlapping unavailable periods are identified as overlapping</t>
  </si>
  <si>
    <t>Rewritten: the story's SPM-46-TC09 is out of date (SPM-93).
Base seed data. Jurong Expo Floor (JUR-EXP) has two overlapping unavailable periods: Maintenance 5-9 Nov 2026 and Safety 7-11 Nov 2026. Logged in as Marcus Wong.</t>
  </si>
  <si>
    <t>Venue: Jurong Expo Floor (JUR-EXP) | From 5 Nov 2026 To 11 Nov 2026</t>
  </si>
  <si>
    <t>1. Click 'Venues' in the sidebar, then 'View availability' on the 'Jurong Expo Floor' row
2. Set 'From' to 5 Nov 2026 and 'To' to 11 Nov 2026, then click 'Show availability'</t>
  </si>
  <si>
    <t>Step 2: A warning 'Some bookings or unavailable periods overlap' is shown. 5 and 6 Nov list 'Unavailable 00:00–24:00 · Maintenance'; 7, 8 and 9 Nov list both 'Unavailable … · Maintenance' and 'Unavailable … · Safety'; 10 and 11 Nov list 'Unavailable … · Safety'. Under 'Unavailable periods': 'Maintenance', 'Loading bay hoist inspection.', '5 Nov 2026, 00:00 – 9 Nov 2026, 23:59', 'Overlaps with: Safety (7 Nov 2026, 00:00 – 11 Nov 2026, 23:59)'; and 'Safety', 'Fire suppression system recertification.', '7 Nov 2026, 00:00 – 11 Nov 2026, 23:59', 'Overlaps with: Maintenance (5 Nov 2026, 00:00 – 9 Nov 2026, 23:59)'.</t>
  </si>
  <si>
    <t>SPM-46-TC10</t>
  </si>
  <si>
    <t>An Event Coordinator and an Operations Manager can open the calendar</t>
  </si>
  <si>
    <t>Logged in as Event Coordinator: daniel.tan@connectsphere.com / password123</t>
  </si>
  <si>
    <t>Accounts: daniel.tan@connectsphere.com (Event Coordinator), grace.lim@connectsphere.com (Operations Manager)
Venue: Marina Grand Hall (MAR-GH)</t>
  </si>
  <si>
    <t>1. Click 'Venues' in the sidebar
2. On the 'Marina Grand Hall' row, click 'View availability'
3. Go back to 'Venues' and click elsewhere on the 'Marina Grand Hall' row
4. Sign out, sign in as the Operations Manager, and repeat the first two steps</t>
  </si>
  <si>
    <t>Both accounts have 'Venues' in the sidebar, and for both the 'Marina Grand Hall availability' page opens and shows the grid. Clicking elsewhere on the row does nothing — the Venues list stays read-only for both, because neither holds the permission that makes a row editable.</t>
  </si>
  <si>
    <t>SPM-46-TC12-R</t>
  </si>
  <si>
    <t>An approved booking blocks its times, setup and turnaround, and is listed, even while its event is still in planning</t>
  </si>
  <si>
    <t>AC3, AC7</t>
  </si>
  <si>
    <t>Rewritten: the story's SPM-46-TC12 is out of date (SPM-93).
Base seed data. Marina Grand Hall (MAR-GH), setup 180 min, turnaround 120 min, has an Approved booking for 'Straits Medical Research Symposium', 7 Dec 2026 09:00-18:00, whose event is in Planning. Logged in as Daniel Tan.</t>
  </si>
  <si>
    <t>Venue: Marina Grand Hall (MAR-GH) | From 6 Dec 2026 To 7 Dec 2026</t>
  </si>
  <si>
    <t>1. Click 'Venues' in the sidebar, then 'View availability' on the 'Marina Grand Hall' row
2. Set 'From' to 6 Dec 2026 and 'To' to 7 Dec 2026, then click 'Show availability'</t>
  </si>
  <si>
    <t>Step 2: 6 Dec shows 'Free'. 7 Dec lists 'Setup 06:00–09:00', 'Booked 09:00–18:00' and 'Turnaround 18:00–20:00', each '· Straits Medical Research Symposium' - not 'Free'. Under 'Approved bookings': Straits Medical Research Symposium with the event status 'Planning', '7 Dec 2026, 09:00–18:00', 'Room in use 06:00–20:00', 'Layout: Theatre'.</t>
  </si>
  <si>
    <t>SPM-93  Book Venues in 15-Minute Units  -  run npm run fixtures:spm93 before its first case</t>
  </si>
  <si>
    <t>SPM-93-TC01</t>
  </si>
  <si>
    <t>A request defaults to the event's times widened to the 15-minute grid, shows the setup and turnaround around them, and is sent as times, not slots</t>
  </si>
  <si>
    <t>AC1, AC2, AC6</t>
  </si>
  <si>
    <t>Run `npm run fixtures:spm93` from the project folder before this case (it only touches the 'SPM93 …' events and venues, never anyone else's data). Run it again after this case: the case sends a booking request.
Logged out.</t>
  </si>
  <si>
    <t>Event: SPM93 Product Clinic | When: 9 Jun 2027, 14:10–15:50 | No sessions | Status: Planning
Venue: SPM93 Studio (SPM93-STU) | Open 07:00–22:00 | Setup 30 min | Turnaround 45 min</t>
  </si>
  <si>
    <t>1. Log in as daniel.tan@connectsphere.com / password123
2. Click 'All Events' in the sidebar and open 'SPM93 Product Clinic'
3. Click the 'Venue' tab
4. Click 'Request booking' on 'SPM93 Studio (SPM93-STU)'
5. Click 'Submit request'
6. Click 'Back to Venue'</t>
  </si>
  <si>
    <t>Step 4: The 'Request a venue booking' page opens for 'SPM93 Product Clinic' at 'SPM93 Studio (SPM93-STU)'. There are no AM, PM or Night checkboxes. 'Date' shows 9 Jun 2027, 'Start time' shows 14:00 and 'End time' shows 16:00 (the event's 14:10–15:50 widened to the 15-minute grid). Below them: 'Setup: 13:30–14:00 (30 min)', 'Turnaround: 16:00–16:45 (45 min)' and 'Room in use: 13:30–16:45'.
Step 5: A green alert 'Booking request sent to Venue Staff.' is shown.
Step 6: The Venue tab's 'Booking requests' card lists 'SPM93 Studio (SPM93-STU)' with '9 Jun 2027, 14:00–16:00 · Theatre' and the 'Pending' badge.</t>
  </si>
  <si>
    <t>SPM-93-TC05</t>
  </si>
  <si>
    <t>The old lunch and dinner gaps (12:00–13:00 and 18:00–19:00) can be booked</t>
  </si>
  <si>
    <t>AC4, AC1</t>
  </si>
  <si>
    <t>Run `npm run fixtures:spm93` before this case, and again after it: the case sends two booking requests.
Logged in as Daniel Tan (daniel.tan@connectsphere.com / password123).</t>
  </si>
  <si>
    <t>Events: SPM93 Lunch and Learn, 14 Jun 2027, 12:00–13:00; SPM93 Sunset Talk, 14 Jun 2027, 18:00–19:00
Venue: SPM93 Quick Room (SPM93-QCK) | Open 07:00–22:00 | Setup 0 min | Turnaround 0 min</t>
  </si>
  <si>
    <t>1. Click 'All Events' in the sidebar and open 'SPM93 Lunch and Learn'
2. Click the 'Venue' tab
3. Click 'Request booking' on 'SPM93 Quick Room (SPM93-QCK)'
4. Click 'Submit request'
5. Click 'All Events' in the sidebar and open 'SPM93 Sunset Talk'
6. Click the 'Venue' tab
7. Click 'Request booking' on 'SPM93 Quick Room (SPM93-QCK)'
8. Click 'Submit request'
9. Click 'Back to Venue'</t>
  </si>
  <si>
    <t>Step 3: 'Date' shows 14 Jun 2027, 'Start time' 12:00 and 'End time' 13:00.
Step 4: A green alert 'Booking request sent to Venue Staff.' is shown.
Step 7: 'Date' shows 14 Jun 2027, 'Start time' 18:00 and 'End time' 19:00.
Step 8: A green alert 'Booking request sent to Venue Staff.' is shown.
Step 9: The 'Booking requests' card lists 'SPM93 Quick Room (SPM93-QCK)' with '14 Jun 2027, 18:00–19:00 · Theatre' and the 'Pending' badge.</t>
  </si>
  <si>
    <t>SPM-93-TC13</t>
  </si>
  <si>
    <t>Venue Staff see a request's times and the room in use including setup and turnaround, on the card and in the approve dialog</t>
  </si>
  <si>
    <t>`npm run fixtures:spm93` has been run since the last full `npx prisma db seed`.
'SPM93 Partner Lunch' has a Pending booking request at SPM93 Studio on 10 Jun 2027, 12:00–13:00.
Logged in as Marcus Wong (marcus.wong@connectsphere.com / password123), Venue Staff.
Nothing is saved in this case: the approve dialog is cancelled.</t>
  </si>
  <si>
    <t>Request: SPM93 Partner Lunch at SPM93 Studio (SPM93-STU), 10 Jun 2027, 12:00–13:00
Venue: setup 30 min, turnaround 45 min</t>
  </si>
  <si>
    <t>1. Click 'Booking Requests' in the sidebar
2. Find the 'SPM93 Studio' card for 'SPM93 Partner Lunch' (use Ctrl+F) and click 'Approve'
3. Click 'Cancel'</t>
  </si>
  <si>
    <t>Step 1: The 'Booking Requests' page lists a card 'SPM93 Studio (SPM93-STU)' for 'SPM93 Partner Lunch' with the 'Pending' badge. Its 'Requested' row reads '10 Jun 2027, 12:00–13:00' and under it 'Setup: 11:30–12:00 (30 min)', 'Turnaround: 13:00–13:45 (45 min)' and 'Room in use: 11:30–13:45'. Nothing on the card mentions AM, PM or Night.
Step 2: The 'Approve this booking?' dialog reads 'This books SPM93 Studio (SPM93-STU) for &lt;reference&gt; SPM93 Partner Lunch on 10 Jun 2027, 12:00–13:00. No other event can then be booked into the room from 11:30 to 13:45, which includes its setup and turnaround time.'
Step 3: The dialog closes and the card still shows 'Pending'.</t>
  </si>
  <si>
    <t>SPM-93-TC15</t>
  </si>
  <si>
    <t>The availability calendar shows an approved booking and a pending hold at their actual times, with setup and turnaround as separate entries</t>
  </si>
  <si>
    <t>Sammi's cases: Venue booking requests</t>
  </si>
  <si>
    <t>`npm run fixtures:spm93` has been run since the last full `npx prisma db seed`, and no booking request has been sent for an 'SPM93 …' event since.
Logged in as Daniel Tan (daniel.tan@connectsphere.com / password123).
Nothing is saved in this case.</t>
  </si>
  <si>
    <t>Venue: SPM93 Studio (SPM93-STU) | Open 07:00–22:00 | Setup 30 min | Turnaround 45 min
Approved: SPM93 Morning Masterclass, 8 Jun 2027, 10:00–12:00
Pending: SPM93 Partner Lunch, 10 Jun 2027, 12:00–13:00</t>
  </si>
  <si>
    <t>1. Click 'Venues' in the sidebar
2. On the 'SPM93 Studio' row, click 'View availability'
3. Set 'From' to 8 Jun 2027 and 'To' to 10 Jun 2027 and click 'Show availability'</t>
  </si>
  <si>
    <t>Step 2: The 'SPM93 Studio availability' page opens. The grid has two columns, 'Day' and 'Schedule'; there are no AM, PM or Night columns.
Step 3: The subtitle reads '8 Jun 2027 – 10 Jun 2027 · open 07:00–22:00 · setup 30 min, turnaround 45 min'. Three day rows. 'Tue 8 Jun 2027' lists, in this order, 'Setup 09:30–10:00 · SPM93 Morning Masterclass', 'Booked 10:00–12:00 · SPM93 Morning Masterclass' and 'Turnaround 12:00–12:45 · SPM93 Morning Masterclass'. 'Wed 9 Jun 2027' shows 'Free'. 'Thu 10 Jun 2027' lists 'Setup 11:30–12:00 · SPM93 Partner Lunch', 'Requested 12:00–13:00 · SPM93 Partner Lunch' and 'Turnaround 13:00–13:45 · SPM93 Partner Lunch'. The 'Approved bookings' card lists SPM93 Morning Masterclass with '8 Jun 2027, 10:00–12:00' and 'Room in use 09:30–12:45'. The 'Requested, not yet approved' card lists SPM93 Partner Lunch with '10 Jun 2027, 12:00–13:00'. Nothing on the page mentions AM, PM or Night slots.</t>
  </si>
  <si>
    <t>SPM-90  Check Each Venue Against Its Own Requirements  -  run npm run fixtures:spm90 before its first case</t>
  </si>
  <si>
    <t>SPM-90-TC01</t>
  </si>
  <si>
    <t>The first venue request for an event starts on the event's own attendance and layout, and is listed with what the space is for</t>
  </si>
  <si>
    <t>AC1, AC2, AC5</t>
  </si>
  <si>
    <t>Run `npm run fixtures:spm90` from the project folder before this case (it only touches the 'SPM90 …' events and venues, never anyone else's data). Do not run it again afterwards: go straight on to SPM-90-TC02, and reset after that one.
Logged out.</t>
  </si>
  <si>
    <t>Event: SPM90 Annual Conference | When: 7 Sep 2027, 09:00–17:00 | Expected attendance 150 | Layout Theatre | No sessions | Status: Planning | No booking requests yet
Venue: SPM90 Main Hall (SPM90-HALL), Theatre 200, Classroom 120
Nothing is typed on the request form: every field is left as it opens</t>
  </si>
  <si>
    <t>1. Log in as daniel.tan@connectsphere.com / password123
2. Click 'All Events' in the sidebar and open 'SPM90 Annual Conference'
3. Click the 'Venue' tab
4. Find 'SPM90 Main Hall (SPM90-HALL)' in the venue list (use Ctrl+F) and click 'Request booking' on it
5. Click 'Submit request'
6. Click 'Back to Venue'</t>
  </si>
  <si>
    <t>Step 3: A card 'The space you need' shows 'Expected attendance for this space' 150 and 'Room layout' Theatre, the event's own. 'SPM90 Main Hall (SPM90-HALL)' has the 'Suitable' badge.
Step 4: The 'Request a venue booking' page opens. 'What is this space for?' reads 'Main programme', 'Expected attendance for this space' reads 150 and 'Room layout' reads Theatre.
Step 5: A green alert 'Booking request sent to Venue Staff.' is shown.
Step 6: The 'Booking requests' card lists 'SPM90 Main Hall (SPM90-HALL)' with 'Main programme · 7 Sep 2027, 09:00–17:00 · Theatre · 150 attendees' and the 'Pending' badge.</t>
  </si>
  <si>
    <t>SPM-42  Request Venue Booking  -  run npm run fixtures:spm42 before its first case</t>
  </si>
  <si>
    <t>SPM-90-TC02</t>
  </si>
  <si>
    <t>SPM-42-TC01-R</t>
  </si>
  <si>
    <t>A breakout room too small for the whole event is suitable once it is checked against its own attendance and layout, and is requested and listed with its own purpose</t>
  </si>
  <si>
    <t>Coordinator requests a suitable venue at the event's own times, with venue requirements and layout</t>
  </si>
  <si>
    <t>AC1, AC3, AC5</t>
  </si>
  <si>
    <t>SPM-90-TC01 has just been run ('SPM90 Annual Conference' has a Pending request at SPM90 Main Hall for its main programme).
Still logged in as Daniel Tan, on the event's Venue tab.
Run `npm run fixtures:spm90` after this case.</t>
  </si>
  <si>
    <t>Rewritten: the story's SPM-42-TC01 is out of date (SPM-93, SPM-90).
Run npm run fixtures:spm42 once at the start of this story's cases (do not re-run it between SPM-42 cases). 'SPM42 Research Symposium' is in Planning, assigned to Daniel Tan, 4 Mar 2027, 09:00-18:00, 200 people, Theatre. Marina Auditorium (MAR-AUD) seats 220 in Theatre, opens 08:00-22:00, setup 60 min, turnaround 30 min. Logged out.</t>
  </si>
  <si>
    <t>Event: SPM90 Annual Conference | Expected attendance 150 | Layout Theatre | Mandatory accessibility requirement: Step-free access
SPM90 Breakout Room (SPM90-BRK): Theatre 30, Classroom 20, has Step-free access
SPM90 Annexe (SPM90-ANX): Theatre 30, Classroom 20, no Step-free access
Space: What is this space for? = Breakout room | Expected attendance for this space = 20 | Room layout = Classroom</t>
  </si>
  <si>
    <t>Event: SPM42 Research Symposium | Venue: Marina Auditorium (MAR-AUD) | 4 Mar 2027, 09:00-18:00
Venue requirements: Lectern and stage riser at the front; two wireless microphones; doors open 08:30.</t>
  </si>
  <si>
    <t>1. Click 'All Events' in the sidebar and open 'SPM90 Annual Conference'
2. Click the 'Venue' tab
3. Find 'SPM90 Breakout Room (SPM90-BRK)' in the venue list (use Ctrl+F)
4. In 'The space you need', change 'Expected attendance for this space' to 20, choose 'Classroom' in 'Room layout' and click 'Check venues'
5. Click 'Request booking' on 'SPM90 Breakout Room (SPM90-BRK)'
6. Type the purpose in 'What is this space for?' and click 'Submit request'
7. Click 'Back to Venue'</t>
  </si>
  <si>
    <t>Kristen's cases: Equipment and the safety check</t>
  </si>
  <si>
    <t>1. Log in as daniel.tan@connectsphere.com / password123
2. Click 'All Events' in the sidebar and open 'SPM42 Research Symposium'
3. Click the 'Venue' tab
4. Click 'Request booking' on 'Marina Auditorium (MAR-AUD)'
5. Type in 'Venue requirements': Lectern and stage riser at the front; two wireless microphones; doors open 08:30.
6. Click 'Submit request'
7. Log out, then log in as marcus.wong@connectsphere.com / password123
8. Click 'Booking Requests' in the sidebar and find the 'Marina Auditorium (MAR-AUD)' card for SPM42 Research Symposium (use Ctrl+F)</t>
  </si>
  <si>
    <t>Step 3: Checked against the event's own 150 in Theatre, 'SPM90 Breakout Room (SPM90-BRK)' has the 'Not suitable' badge, the line 'Theatre capacity is 30 - this space expects 150.' and no 'Request booking' button.
Step 4: The list is checked again. 'SPM90 Breakout Room (SPM90-BRK)' now has the 'Suitable' badge and a 'Request booking' button. 'SPM90 Main Hall (SPM90-HALL)' is still 'Suitable'. 'SPM90 Annexe (SPM90-ANX)' is 'Not suitable' with only the line 'Missing accessibility feature: Step-free access.': the event's accessibility need still applies to this space.
Step 5: The 'Request a venue booking' page opens for 'SPM90 Breakout Room (SPM90-BRK)'. 'What is this space for?' is empty, 'Expected attendance for this space' reads 20 and 'Room layout' reads Classroom.
Step 6: A green alert 'Booking request sent to Venue Staff.' is shown. The request is not refused although the room seats far fewer than the event's 150.
Step 7: The 'Booking requests' card lists both requests, each with its own space: 'SPM90 Breakout Room (SPM90-BRK)' with 'Breakout room · 7 Sep 2027, 09:00–17:00 · Classroom · 20 attendees' and 'Pending'; 'SPM90 Main Hall (SPM90-HALL)' with 'Main programme · 7 Sep 2027, 09:00–17:00 · Theatre · 150 attendees' and 'Pending', unchanged.</t>
  </si>
  <si>
    <t>Step 3: 'Marina Auditorium (MAR-AUD)' is listed as 'Suitable' with a 'Request booking' button.
Step 4: The 'Request a venue booking' page shows Event 'SPM42 Research Symposium' and Venue 'Marina Auditorium (MAR-AUD)'. It is filled in with 'What is this space for?' Main programme, Expected attendance 200, Room layout Theatre, Date 4 Mar 2027, Start time 09:00 and End time 18:00, and reads 'Setup: 08:00–09:00 (60 min)', 'Turnaround: 18:00–18:30 (30 min)' and 'Room in use: 08:00–18:30'. There are no AM, PM or Night boxes.
Step 6: A green alert 'Booking request sent to Venue Staff.' reads 'It is Pending until Venue Staff review it.'
Step 8: The card has the badge 'Pending', Requested '4 Mar 2027, 09:00–18:00' with the same setup, turnaround and room-in-use lines, Space 'Main programme', Layout 'Theatre', Expected attendance '200', Venue requirements exactly as typed, and Requested by 'Daniel Tan' with 'Event is Planning'.</t>
  </si>
  <si>
    <t>SPM-90-TC09-R</t>
  </si>
  <si>
    <t>Once Venue Staff approve the last pending room and the safety check is approved, an event with two venue bookings can be confirmed</t>
  </si>
  <si>
    <t>Rewritten: the story's SPM-90-TC09 is out of date (SPM-86, SPM-87, SPM-88).
Run npm run fixtures:spm90 before and after this case. 'SPM90 Awards Night' (16 Sep 2027, 09:00-17:00) is in Planning with SPM90 Main Hall Approved and SPM90 Breakout Room Pending. Logged out.</t>
  </si>
  <si>
    <t>Event: SPM90 Awards Night | SPM90 Main Hall (SPM90-HALL) Approved | SPM90 Breakout Room (SPM90-BRK) Pending</t>
  </si>
  <si>
    <t>1. Log in as marcus.wong@connectsphere.com / password123
2. Click 'Booking Requests' in the sidebar and find the 'SPM90 Breakout Room' card for 'SPM90 Awards Night' (use Ctrl+F)
3. Click 'Approve' on that card, then 'Approve' in the dialog
4. Log out, then log in as daniel.tan@connectsphere.com / password123
5. Click 'All Events' in the sidebar and open 'SPM90 Awards Night'
6. Click 'Submit for safety check'
7. Click 'Submit' in the dialog
8. Log out, then log in as hana.yusof@connectsphere.com / password123
9. Click 'Safety Checks' in the sidebar and open 'SPM90 Awards Night'
10. Click 'Record safety decision', choose 'Approve' and click 'Record decision'
11. Log out, then log in as daniel.tan@connectsphere.com / password123
12. Click 'All Events' in the sidebar and open 'SPM90 Awards Night'
13. Click 'Confirm event'
14. Click 'Confirm event' in the dialog</t>
  </si>
  <si>
    <t>Step 3: A green alert 'Booking approved' reads 'SPM90 Breakout Room (SPM90-BRK) for &lt;reference&gt; SPM90 Awards Night on 16 Sept 2027, 09:00–17:00 is now Approved — the room is booked.'
Step 5: The 'Venue bookings' card lists 'SPM90 Main Hall (SPM90-HALL) · Main programme · Theatre · seats 200' and 'SPM90 Breakout Room (SPM90-BRK) · Breakout room · Classroom · seats 20'.
Step 6: A dialog 'Submit for safety check?' reads 'SPM90 Awards Night will move to Safety review and the Safety Officer will be notified. Anything still outstanding or flagged for review will be listed instead.'
Step 7: 'The event has been submitted for a safety check. The Safety Officer has been notified.' is shown and the status badge reads 'Safety review'.
Step 10: 'Safety check approved. The coordinator has been notified.' is shown and the status badge reads 'Safety approved'.
Step 12: The status badge reads 'Safety approved' and the 'Confirm event' button is shown.
Step 13: A dialog 'Confirm this event?' reads 'SPM90 Awards Night will be marked Confirmed, and the organiser will be able to see the venue and equipment arranged for it. Anything still outstanding will be listed instead.'
Step 14: 'The event is confirmed. The organiser can now see the arrangements.' is shown and the status badge reads 'Confirmed'.</t>
  </si>
  <si>
    <t>Nil</t>
  </si>
  <si>
    <t>SPM-90-TC10-R</t>
  </si>
  <si>
    <t>An event with a single approved venue booking made before SPM-90 is listed without a purpose and is confirmed as before, once its safety check is approved</t>
  </si>
  <si>
    <t>SPM-42-TC04-R</t>
  </si>
  <si>
    <t>Rewritten: the story's SPM-90-TC10 is out of date (SPM-86, SPM-87, SPM-88).
Run npm run fixtures:spm90 before and after this case. 'SPM90 Solo Seminar' (21 Sep 2027, 09:00-12:00, 150 people, Theatre) is in Planning with one Approved booking at SPM90 Main Hall that has no purpose recorded. Logged in as Daniel Tan.</t>
  </si>
  <si>
    <t>An event with no sessions is requested on its own date and times, and the request is listed on the event</t>
  </si>
  <si>
    <t>Event: SPM90 Solo Seminar | Booking: SPM90 Main Hall (SPM90-HALL), Approved, no purpose</t>
  </si>
  <si>
    <t>1. Click 'All Events' in the sidebar and open 'SPM90 Solo Seminar'
2. Click 'Submit for safety check'
3. Click 'Submit' in the dialog
4. Log out, then log in as hana.yusof@connectsphere.com / password123
5. Click 'Safety Checks' in the sidebar and open 'SPM90 Solo Seminar'
6. Click 'Record safety decision', choose 'Approve' and click 'Record decision'
7. Log out, then log in as daniel.tan@connectsphere.com / password123
8. Click 'All Events' in the sidebar and open 'SPM90 Solo Seminar'
9. Click 'Confirm event'
10. Click 'Confirm event' in the dialog</t>
  </si>
  <si>
    <t>Rewritten: the story's SPM-42-TC04 is out of date (SPM-93, SPM-82).
Run before SPM-42-TC11-R, which continues from this case.
SPM-42 fixtures loaded (npm run fixtures:spm42, once for the story). 'SPM42 Town Hall' is in Planning, assigned to Daniel Tan, 6 Mar 2027, 09:00-17:00, 100 people, Theatre, no sessions, no booking requests. Logged in as Daniel Tan. SPM-42-TC11 reads the request this case makes, so go straight to it.</t>
  </si>
  <si>
    <t>Event: SPM42 Town Hall (no sessions) | Venue: Orchard Seminar Room (ORC-SEM), setup 60 min, turnaround 30 min | 6 Mar 2027, 09:00-17:00</t>
  </si>
  <si>
    <t>Step 1: The 'Venue' row reads 'SPM90 Main Hall (SPM90-HALL)' and the 'Venue bookings' card reads 'SPM90 Main Hall (SPM90-HALL) · Theatre · seats 200', with no purpose.
Step 2: A dialog 'Submit for safety check?' reads 'SPM90 Solo Seminar will move to Safety review and the Safety Officer will be notified. Anything still outstanding or flagged for review will be listed instead.'
Step 3: 'The event has been submitted for a safety check. The Safety Officer has been notified.' is shown and the status badge reads 'Safety review'.
Step 6: 'Safety check approved. The coordinator has been notified.' is shown and the status badge reads 'Safety approved'.
Step 8: The status badge reads 'Safety approved' and the 'Confirm event' button is shown.
Step 9: A dialog 'Confirm this event?' reads 'SPM90 Solo Seminar will be marked Confirmed, and the organiser will be able to see the venue and equipment arranged for it. Anything still outstanding will be listed instead.'
Step 10: 'The event is confirmed. The organiser can now see the arrangements.' is shown and the status badge reads 'Confirmed'.</t>
  </si>
  <si>
    <t>1. Click 'All Events' in the sidebar and open 'SPM42 Town Hall'
2. Click the 'Venue' tab
3. Click 'Request booking' on 'Orchard Seminar Room (ORC-SEM)'
4. Click 'Submit request'
5. Click 'Back to Venue'</t>
  </si>
  <si>
    <t>SPM-47  Record Equipment Requirements  -  uses the base seed data (no fixture script)</t>
  </si>
  <si>
    <t>Step 2: There is no 'Session' drop-down. 'Orchard Seminar Room (ORC-SEM)' is 'Suitable'.
Step 3: The form starts on Date 6 Mar 2027, Start time 09:00 and End time 17:00 (the event's own times), Expected attendance 100, Room layout Theatre, and 'What is this space for?' Main programme. It reads 'Setup: 08:00–09:00 (60 min)', 'Turnaround: 17:00–17:30 (30 min)' and 'Room in use: 08:00–17:30'.
Step 4: 'Booking request sent to Venue Staff.' is shown.
Step 5: The 'Booking requests' card lists 'Orchard Seminar Room (ORC-SEM)' with 'Main programme · 6 Mar 2027, 09:00–17:00 · Theatre · 100 attendees', the line 'Hold expires Hold expires' followed by the date and time 7 days after the request was sent, and the badge 'Pending'.</t>
  </si>
  <si>
    <t>SPM-71  View Notifications  -  run npm run fixtures:spm71 before its first case</t>
  </si>
  <si>
    <t>Out-of-date test cases</t>
  </si>
  <si>
    <t>SPM-71-TC01</t>
  </si>
  <si>
    <t>SPM-42-TC11-R</t>
  </si>
  <si>
    <t>Story test cases that no longer match the app because a later story changed the behaviour on purpose. They are not failures. Each story's owner updates the case's JSON and rebuilds its workbook; where a case was rewritten for this run (ID ending -R on a tester's sheet), that version is a starting point. Add a row for any other out-of-date case found during the run.</t>
  </si>
  <si>
    <t>A coordinator sees their five notifications newest first, each saying what happened, which event and when</t>
  </si>
  <si>
    <t>The request reaches Venue Staff and shows Pending, with its times, setup, turnaround and hold expiry</t>
  </si>
  <si>
    <t>AC7, AC8</t>
  </si>
  <si>
    <t>npm run fixtures:spm71 has been run (it creates the test accounts and resets their notifications without reseeding). Logged in as Leon Koh (Event Coordinator).</t>
  </si>
  <si>
    <t>Rewritten: the story's SPM-42-TC11 is out of date (SPM-93, SPM-82, SPM-90).
Run straight after SPM-42-TC04-R - do not reset the fixtures in between.
SPM-42-TC04 has just been run ('SPM42 Town Hall' has a Pending request for Orchard Seminar Room) and the fixtures have NOT been reset since. Logged in as Daniel Tan.</t>
  </si>
  <si>
    <t>Coordinator: leon.koh@connectsphere.com / password123
Leon's notifications, newest first: You have been assigned an event (12 Oct 2026, 09:00), Booking needs review (11 Oct 2026, 15:30), Equipment out of service - reservation needs review (10 Oct 2026, 11:00), An event has been reassigned (9 Oct 2026, 17:00), Equipment out of service - reservation needs review (8 Oct 2026, 16:45)</t>
  </si>
  <si>
    <t>SPM-47-TC01</t>
  </si>
  <si>
    <t>Request: SPM42 Town Hall, Orchard Seminar Room (ORC-SEM), 6 Mar 2027, 09:00-17:00</t>
  </si>
  <si>
    <t>1. Click 'Notifications' in the sidebar</t>
  </si>
  <si>
    <t>Coordinator records an equipment requirement with a type, quantity, and technical requirements</t>
  </si>
  <si>
    <t>1. Click 'All Events' in the sidebar, open 'SPM42 Town Hall' and click the 'Venue' tab
2. Log out, then log in as marcus.wong@connectsphere.com / password123
3. Click 'Booking Requests' in the sidebar and find the card for SPM42 Town Hall (use Ctrl+F)</t>
  </si>
  <si>
    <t>Story</t>
  </si>
  <si>
    <t>Step 1: The Notifications page lists exactly five notifications, newest first: 'You have been assigned an event' (12 Oct 2026, 09:00), 'Booking needs review' (11 Oct 2026, 15:30), 'Equipment out of service - reservation needs review' (10 Oct 2026, 11:00), 'An event has been reassigned' (9 Oct 2026, 17:00) and 'Equipment out of service - reservation needs review' (8 Oct 2026, 16:45). Each shows its message, the event it is about with its reference (e.g. 'SPM71 Harbour Lights Gala · EVT-…'), and the date and time it happened. Ivy Lim's 'You have been assigned an event' for SPM71 Reassigned Showcase is not listed.</t>
  </si>
  <si>
    <t>Story owner</t>
  </si>
  <si>
    <t>Step 1: Under 'Booking requests', Orchard Seminar Room (ORC-SEM) has the badge 'Pending'.
Step 3: The card is headed 'Orchard Seminar Room (ORC-SEM)', 'for &lt;reference&gt; SPM42 Town Hall · Meridian Financial Group', badge 'Pending'. Requested '6 Mar 2027, 09:00–17:00' with 'Setup: 08:00–09:00 (60 min)', 'Turnaround: 17:00–17:30 (30 min)' and 'Room in use: 08:00–17:30'; Hold expires: the date and time 7 days after SPM-42-TC04 sent it, with 'Change expiry'; Event time '6 Mar 2027, 09:00–17:00'; Space 'Main programme'; Layout 'Theatre'; Expected attendance '100'; Venue requirements 'None given'; Requested by 'Daniel Tan', 'Event is Planning'.</t>
  </si>
  <si>
    <t>Logged in as Hui Shan Neo (huishan.neo@connectsphere.com / password123), the Coordinator assigned to 'Pearl Delta Safety Conference' (status Planning, 14 Dec 2026 09:00-17:00, organised by Samuel Ong).
The event already has '4K Portable Projector' (Quantity 4) and 'Portable WiFi Access Point' (Quantity 4) for the whole event, and 'Audio Mixing Desk' (Quantity 1) for its 'Morning briefing' session.</t>
  </si>
  <si>
    <t>Equipment: Handheld Wireless Mic | Quantity: 6 | Technical requirements: Lapel mics for panel speakers.</t>
  </si>
  <si>
    <t>1. Open 'Pearl Delta Safety Conference'
2. Click the 'Equipment' tab
3. In 'Add equipment', open the 'Equipment' dropdown and choose 'Handheld Wireless Mic'
4. Set 'Quantity' to 6
5. Enter 'Lapel mics for panel speakers.' in 'Technical requirements'
6. Click 'Add'</t>
  </si>
  <si>
    <t>Changed by</t>
  </si>
  <si>
    <t>A new row for 'Handheld Wireless Mic' appears showing Quantity 6 and 'Lapel mics for panel speakers.', with status 'Requested'.
The existing '4K Portable Projector' row (Quantity 4) is unchanged.
The Add equipment fields reset to their defaults.</t>
  </si>
  <si>
    <t>SPM-71-TC03</t>
  </si>
  <si>
    <t>SPM-42-TC09-R</t>
  </si>
  <si>
    <t>What changed</t>
  </si>
  <si>
    <t>Each session is requested at its own date, times and layout; a room whose setup and turnaround fall outside its opening hours is refused</t>
  </si>
  <si>
    <t>Marking one notification as read removes its Unread label and lowers the unread count</t>
  </si>
  <si>
    <t>How we know</t>
  </si>
  <si>
    <t>In this regression</t>
  </si>
  <si>
    <t>Run before SPM-71-TC04, which continues from this case.
Run npm run fixtures:spm71 before this case. Logged in as Leon Koh (Event Coordinator). This case changes data: go straight on to SPM-71-TC04, and run npm run fixtures:spm71 after it.</t>
  </si>
  <si>
    <t>Rewritten: the story's SPM-42-TC09 is out of date (SPM-93, SPM-54, SPM-90).
Run npm run fixtures:spm42 before this case. 'SPM42 Three-Session Forum' is Approved, assigned to Daniel Tan. Sessions: 'Day 1' 1 Mar 2027 09:00-12:00, 80 people, Theatre; 'Day 2' 2 Mar 2027 14:00-17:00, 30 people, Classroom; 'Day 3' 3 Mar 2027 19:00-22:00, 60 people, Banquet. Logged in as Daniel Tan. Run npm run fixtures:spm42 after this case.</t>
  </si>
  <si>
    <t>Updated?</t>
  </si>
  <si>
    <t>Day 1: Orchard Seminar Room (ORC-SEM) | Day 2: Orchard Studio (ORC-STU) | Day 3: Orchard Gallery (ORC-GAL), open 09:00-23:00, setup 120 min, turnaround 90 min</t>
  </si>
  <si>
    <t>Notification: Booking needs review (11 Oct 2026, 15:30)</t>
  </si>
  <si>
    <t>1. Click 'Notifications' in the sidebar
2. Click 'Mark as read' on 'Booking needs review'</t>
  </si>
  <si>
    <t>1. Click 'All Events' in the sidebar and open 'SPM42 Three-Session Forum'
2. Click the 'Venue' tab
3. In the 'Session' drop-down, choose 'Day 1'
4. Click 'Request booking' on 'Orchard Seminar Room (ORC-SEM)'
5. Click 'Submit request'
6. Click 'Continue' in the dialog
7. Click 'Back to Venue'
8. In the 'Session' drop-down, choose 'Day 2'
9. Click 'Request booking' on 'Orchard Studio (ORC-STU)'
10. Click 'Submit request'
11. Click 'Back to Venue'
12. In the 'Session' drop-down, choose 'Day 3'
13. Click 'Request booking' on 'Orchard Gallery (ORC-GAL)'
14. Click 'Submit request'
15. Click 'Cancel'</t>
  </si>
  <si>
    <t>Step 1: Three notifications are Unread, and the sidebar's 'Notifications' link shows '3'.
Step 2: 'Booking needs review' loses its 'Unread' label, its bold and its 'Mark as read' button. The bell and the sidebar's 'Notifications' link now show '2'.</t>
  </si>
  <si>
    <t>SPM-33-TC01</t>
  </si>
  <si>
    <t>SPM-33</t>
  </si>
  <si>
    <t>SPM-47-TC14</t>
  </si>
  <si>
    <t>Organiser sees the same requirements read-only and cannot edit them</t>
  </si>
  <si>
    <t>Every venue booking, equipment line and the safety check are listed with their own status, and Confirm names what is outstanding</t>
  </si>
  <si>
    <t>SPM-71-TC04</t>
  </si>
  <si>
    <t>Step 4: The form shows Session 'Day 1 — 1 Mar 2027, 09:00–12:00', Date 1 Mar 2027, 09:00 to 12:00, Expected attendance 80, Room layout Theatre, 'Room in use: 08:00–12:30'.
Step 5: A dialog 'Begin planning?' says the event will move from Approved to Planning.
Step 6: 'Booking request sent to Venue Staff.' and 'Planning has started' are shown.
Step 9: The form shows Session 'Day 2 — 2 Mar 2027, 14:00–17:00', Date 2 Mar 2027, 14:00 to 17:00, Expected attendance 30, Room layout Classroom, 'Setup: 13:30–14:00 (30 min)', 'Turnaround: 17:00–17:30 (30 min)'.
Step 10: 'Booking request sent to Venue Staff.' is shown.
Step 13: The form shows Session 'Day 3 — 3 Mar 2027, 19:00–22:00', Date 3 Mar 2027, 19:00 to 22:00, Expected attendance 60, Room layout Banquet, 'Setup: 17:00–19:00 (120 min)', 'Turnaround: 22:00–23:30 (90 min)', 'Room in use: 17:00–23:30'.
Step 14: The request is refused with 'Orchard Gallery is open 09:00–23:00. With its 120 min setup and 90 min turnaround, choose times between 11:00 and 21:30.' Nothing is sent.
Step 15: The 'Booking requests' card lists two requests, each with its session and the session's own layout: 'Orchard Seminar Room (ORC-SEM)' with 'Main programme · Day 1 · 1 Mar 2027, 09:00–12:00 · Theatre · 80 attendees' and 'Orchard Studio (ORC-STU)' with 'Main programme · Day 2 · 2 Mar 2027, 14:00–17:00 · Classroom · 30 attendees', both 'Pending'. There is no request for Day 3.</t>
  </si>
  <si>
    <t>AC6, AC7</t>
  </si>
  <si>
    <t>Mark all as read clears every unread notification and the count, and it stays that way after reloading</t>
  </si>
  <si>
    <t>Logged in as Samuel Ong (samuel.ong@pearldeltama.com / password123), the Organiser of 'Pearl Delta Safety Conference'.
The event has a requirement for '4K Portable Projector', Quantity 4.
Note: this is broader than AC6's literal wording ('Technical Support Staff can view the requirements') — the Organiser also gets read-only visibility into their own event's equipment, because they reasonably want to see what's been recorded against the event they raised (see canViewEquipmentRequests in src/lib/permissions.ts).</t>
  </si>
  <si>
    <t>SPM-43  Review Venue Booking Request  -  run npm run fixtures:spm43 before its first case</t>
  </si>
  <si>
    <t>Run straight after SPM-71-TC03 - do not reset the fixtures in between.
SPM-71-TC03 has just been run (Leon Koh has two unread notifications left). Logged in as Leon Koh. Run npm run fixtures:spm71 after this case.</t>
  </si>
  <si>
    <t>Role: Organiser</t>
  </si>
  <si>
    <t>Unread before: You have been assigned an event; Equipment out of service (8 Oct 2026)</t>
  </si>
  <si>
    <t>1. Open 'Pearl Delta Safety Conference' from 'My Events'
2. Click the 'Equipment' tab</t>
  </si>
  <si>
    <t>1. Click 'Mark all as read'
2. Reload the page</t>
  </si>
  <si>
    <t>The '4K Portable Projector' row is visible with its quantity and technical requirements shown as plain text (not an input field of any kind).
There is no editable Quantity or Technical requirements field, no 'Save' or 'Remove' button, and no 'Add equipment' section.</t>
  </si>
  <si>
    <t>SPM-88, SPM-65, SPM-65</t>
  </si>
  <si>
    <t>Step 1: No notification is labelled 'Unread' and none has a 'Mark as read' button. The 'Mark all as read' button is gone, and neither the bell nor the sidebar's 'Notifications' link shows a number.
Step 2: All five notifications are still read and no count is shown.</t>
  </si>
  <si>
    <t>Confirm event now waits for an approved Operational Safety Check. The Readiness tab counts it as a blocker, every refusal ends with '...the Operational Safety Check has not been submitted yet', and the note 'Confirm event does not wait for it yet.' is gone. Also: SPM-65 added an Attendees tab between Equipment and Readiness.</t>
  </si>
  <si>
    <t>Rewritten and run on a copy of the database, 17 Oct 2026</t>
  </si>
  <si>
    <t>Yes - replaced by SPM-33-TC01-R on Jordan's sheet</t>
  </si>
  <si>
    <t>SPM-71-TC05</t>
  </si>
  <si>
    <t>Selecting a notification opens its event and marks it as read</t>
  </si>
  <si>
    <t>AC5, AC4</t>
  </si>
  <si>
    <t>SPM-47-TC17</t>
  </si>
  <si>
    <t>Coordinator scopes equipment requirements to individual sessions of a multi-session event</t>
  </si>
  <si>
    <t>Run npm run fixtures:spm71 before and after this case. Logged in as Leon Koh (Event Coordinator).</t>
  </si>
  <si>
    <t>Notification: You have been assigned an event (SPM71 Harbour Lights Gala)</t>
  </si>
  <si>
    <t>SPM-33-TC02</t>
  </si>
  <si>
    <t>1. Click 'Notifications' in the sidebar
2. Click 'You have been assigned an event'
3. Click 'Notifications' in the sidebar</t>
  </si>
  <si>
    <t>DO NOT run npx prisma db seed, whatever the text below says - it wipes the shared database. Use the base seed data as it is; if it no longer matches, mark the case Blocked.
Logged in as Hui Shan Neo (huishan.neo@connectsphere.com / password123), Coordinator of 'Pearl Delta Safety Conference'.
The event has two sessions: 'Morning briefing' (09:00-12:00) and 'Afternoon workshop' (13:00-17:00), both on 14 Dec 2026. There is no in-app way to add a session to an existing event, so both sessions are seeded by `npx prisma db seed`.</t>
  </si>
  <si>
    <t>Step 2: The Overview of 'SPM71 Harbour Lights Gala' opens.
Step 3: 'You have been assigned an event' is no longer labelled 'Unread', and the sidebar's 'Notifications' link shows '2'.</t>
  </si>
  <si>
    <t>Session dropdown options: Whole event, Morning briefing, Afternoon workshop | Row 1: Gooseneck Table Mic / Morning briefing | Row 2: Powered Speaker / Afternoon workshop</t>
  </si>
  <si>
    <t>An event with no venue booking shows 'No venue booked', and nothing for equipment or registration it does not have</t>
  </si>
  <si>
    <t>Boundary</t>
  </si>
  <si>
    <t>1. Open the 'Equipment' tab of 'Pearl Delta Safety Conference'
2. In 'Add equipment', choose 'Gooseneck Table Mic', set Quantity to 1, and choose 'Morning briefing' in the new 'Session' dropdown
3. Click 'Add'
4. Choose 'Powered Speaker', set Quantity to 2, and choose 'Afternoon workshop' in 'Session'
5. Click 'Add'</t>
  </si>
  <si>
    <t>SPM-43-TC01-R</t>
  </si>
  <si>
    <t>SPM-86, SPM-87, SPM-88</t>
  </si>
  <si>
    <t>Both rows are added, each showing a small label naming its session ('Morning briefing' / 'Afternoon workshop') next to the equipment name.
Each requirement is independent — Technical Support reviewing 'Afternoon workshop' sees only the Powered Speaker request, not the Gooseneck Table Mic one.</t>
  </si>
  <si>
    <t>Venue Staff see each pending request with its venue, times, setup and turnaround, hold expiry and event details</t>
  </si>
  <si>
    <t>Confirm event now waits for an approved Operational Safety Check. The Readiness tab counts it as a blocker, every refusal ends with '...the Operational Safety Check has not been submitted yet', and the note 'Confirm event does not wait for it yet.' is gone.</t>
  </si>
  <si>
    <t>Found by searching the case text; not run</t>
  </si>
  <si>
    <t>No</t>
  </si>
  <si>
    <t>SPM-48  Check Equipment Availability  -  uses the base seed data (no fixture script)</t>
  </si>
  <si>
    <t>Rewritten: the story's SPM-43-TC01 is out of date (SPM-93, SPM-82, SPM-90).
Run npm run fixtures:spm43 once before this story's cases. 'SPM43 Leadership Offsite' (Planning, Meridian Financial Group, Daniel Tan, 100 people, Theatre, 4 May 2027 09:00-17:00) has a Pending request for Orchard Seminar Room (ORC-SEM) for 4 May 2027, 07:00-18:00. 'SPM43 Board Strategy Day' has an Approved booking at Marina Auditorium. Logged out.</t>
  </si>
  <si>
    <t>SPM-33-TC03</t>
  </si>
  <si>
    <t>Request: SPM43 Leadership Offsite at Orchard Seminar Room (ORC-SEM), 4 May 2027, 07:00-18:00 | Venue requirements: Lectern and two handheld microphones.</t>
  </si>
  <si>
    <t>1. Log in as marcus.wong@connectsphere.com / password123
2. Click 'Booking Requests' in the sidebar
3. Find the card for 'SPM43 Leadership Offsite' (use Ctrl+F)
4. Search the page (Ctrl+F) for a card headed 'for &lt;reference&gt; SPM43 Board Strategy Day'</t>
  </si>
  <si>
    <t>A multi-session event shows which session each venue arrangement belongs to</t>
  </si>
  <si>
    <t>SPM-48-TC14</t>
  </si>
  <si>
    <t>Step 2: The 'Booking Requests' page opens with one card per pending request.
Step 3: The card is headed 'Orchard Seminar Room (ORC-SEM)', 'for &lt;reference&gt; SPM43 Leadership Offsite · Meridian Financial Group', badge 'Pending'. Requested '4 May 2027, 07:00–18:00' with 'Setup: 06:00–07:00 (60 min)', 'Turnaround: 18:00–18:30 (30 min)' and 'Room in use: 06:00–18:30'; Hold expires 'No expiry set' with 'Change expiry'; Event time '4 May 2027, 09:00–17:00'; Space 'Not recorded'; Layout 'Theatre'; Expected attendance '100'; Venue requirements 'Lectern and two handheld microphones.'; Requested by 'Daniel Tan', 'Event is Planning'; buttons 'Approve' and 'Reject with a reason'.
Step 4: There is no card for SPM43 Board Strategy Day: its booking is already approved. (It may be named inside another card's clash warning.)</t>
  </si>
  <si>
    <t>Two events on the same day can both be supported when stock covers both</t>
  </si>
  <si>
    <t>SPM-33-TC04</t>
  </si>
  <si>
    <t>DO NOT run npx prisma db seed, whatever the text below says - it wipes the shared database. Use the base seed data as it is; if it no longer matches, mark the case Blocked.
'Stage Wash Light': 2 total, 0 in maintenance.
Event 'Morning Workshop' (2026-12-01, 09:00-12:00) holds 1x Stage Wash Light.
Event 'Evening Recital' (2026-12-01, 18:00-21:00) requests 1x Stage Wash Light.
Data: seeded by `npx prisma db seed` (SPM-48 test fixtures).
Logged in as Technical Support Staff (vikram.nair@connectsphere.com, password123).
Unless a case says otherwise, the event has no venue booked yet, so each line also shows 'Venue not yet chosen — transfer time not included.'</t>
  </si>
  <si>
    <t>SPM-43-TC03-R</t>
  </si>
  <si>
    <t>Equipment: Stage Wash Light, Requested: 1, Total: 2, Held by Morning Workshop: 1</t>
  </si>
  <si>
    <t>Approving a request books the room: it leaves the list, the calendar shows its setup, booked and turnaround times, and the Coordinator sees it Approved</t>
  </si>
  <si>
    <t>1. Click Equipment Requests in the side menu
2. Open the equipment request for the Evening Recital event
3. Read the Stage Wash Light line under Requested items</t>
  </si>
  <si>
    <t>A second venue requested from the Venue tab is listed on its own, beside the first</t>
  </si>
  <si>
    <t>The Stage Wash Light line shows the chip 'Available' and '2 total − 0 in maintenance − 1 reserved elsewhere = 1 available for these dates'.</t>
  </si>
  <si>
    <t>wording changed by SPM-55</t>
  </si>
  <si>
    <t>Rewritten: the story's SPM-43-TC03 is out of date (SPM-93).
SPM-43 fixtures loaded, with 'SPM43 Leadership Offsite' still Pending at Orchard Seminar Room (run npm run fixtures:spm43 if not). Logged in as Marcus Wong. This case changes data: run npm run fixtures:spm43 when you finish this story's cases.</t>
  </si>
  <si>
    <t>SPM-48-TC15</t>
  </si>
  <si>
    <t>Request: SPM43 Leadership Offsite at Orchard Seminar Room (ORC-SEM), 4 May 2027, 07:00-18:00 | Calendar: 3-5 May 2027</t>
  </si>
  <si>
    <t>Each session of a multi-session event is checked against its own dates</t>
  </si>
  <si>
    <t>SPM-33-TC05</t>
  </si>
  <si>
    <t>AC3, AC5</t>
  </si>
  <si>
    <t>1. Click 'Booking Requests' in the sidebar
2. On the 'SPM43 Leadership Offsite' card, click 'Approve'
3. Click 'Approve' in the dialog
4. Click 'Venues' in the sidebar, then 'View availability' on the 'Orchard Seminar Room' row
5. Set 'From' to 3 May 2027 and 'To' to 5 May 2027, then click 'Show availability'
6. Log out, then log in as daniel.tan@connectsphere.com / password123
7. Click 'All Events' in the sidebar and open 'SPM43 Leadership Offsite'
8. Click the 'Venue' tab</t>
  </si>
  <si>
    <t>A flagged venue booking and equipment reservation are shown as outstanding, with why, and prevent confirmation</t>
  </si>
  <si>
    <t>DO NOT run npx prisma db seed, whatever the text below says - it wipes the shared database. Use the base seed data as it is; if it no longer matches, mark the case Blocked.
Rule source: customer Q&amp;A #74 (different sessions can have different equipment) and SPM-47.
'PA Speaker': 2 total, 0 in maintenance.
Event 'Open House' (2026-10-05) holds 2x PA Speaker.
Event 'Two-Day Summit' has session 'Day 1' (2026-10-05) and session 'Day 2' (2026-10-20). Each session requests 2x PA Speaker.
Data: seeded by `npx prisma db seed` (SPM-48 test fixtures).
Logged in as Technical Support Staff (vikram.nair@connectsphere.com, password123).
Unless a case says otherwise, the event has no venue booked yet, so each line also shows 'Venue not yet chosen — transfer time not included.'</t>
  </si>
  <si>
    <t>SPM-88</t>
  </si>
  <si>
    <t>Equipment: PA Speaker, Requested: 2 per session, Day 1: 2026-10-05, Day 2: 2026-10-20</t>
  </si>
  <si>
    <t>Step 2: A dialog 'Approve this booking?' reads 'This books Orchard Seminar Room (ORC-SEM) for &lt;reference&gt; SPM43 Leadership Offsite on 4 May 2027, 07:00–18:00. No other event can then be booked into the room from 06:00 to 18:30, which includes its setup and turnaround time.'
Step 3: A green 'Booking approved' message reads 'Orchard Seminar Room (ORC-SEM) for &lt;reference&gt; SPM43 Leadership Offsite on 4 May 2027, 07:00–18:00 is now Approved — the room is booked.' The card is no longer in the list.
Step 5: The subtitle reads '3 May 2027 – 5 May 2027 · open 08:00–22:00 · setup 60 min, turnaround 30 min'. The grid has the columns 'Day' and 'Schedule'. 3 May and 5 May show 'Free'. 4 May lists 'Setup 06:00–07:00 · SPM43 Leadership Offsite', 'Booked 07:00–18:00 · SPM43 Leadership Offsite' and 'Turnaround 18:00–18:30 · SPM43 Leadership Offsite'. Under 'Approved bookings': SPM43 Leadership Offsite, 'Planning', '4 May 2027, 07:00–18:00', 'Room in use 06:00–18:30', 'Layout: Theatre'.
Step 7: The event's status badge still reads 'Planning': approving a booking does not confirm the event.
Step 8: Under 'Booking requests', Orchard Seminar Room (ORC-SEM) shows '4 May 2027, 07:00–18:00 · Theatre' with the badge 'Approved' and a 'Release booking' button.</t>
  </si>
  <si>
    <t>1. Click Equipment Requests in the side menu
2. Open the equipment request for the Two-Day Summit event
3. Read the PA Speaker line under Day 1
4. Read the PA Speaker line under Day 2</t>
  </si>
  <si>
    <t>Yes - replaced by SPM-33-TC05-R on Jordan's sheet</t>
  </si>
  <si>
    <t>Day 1: the PA Speaker line shows the chip 'Unavailable' and '2 total − 0 in maintenance − 2 reserved elsewhere = 0 available for these dates'.
Day 2: the PA Speaker line shows the chip 'Available' and '2 total − 0 in maintenance − 0 reserved elsewhere = 2 available for these dates'.
The banner 'Not everything requested is available.' is shown above the requested items.</t>
  </si>
  <si>
    <t>SPM-33-TC07</t>
  </si>
  <si>
    <t>SPM-43-TC08-R</t>
  </si>
  <si>
    <t>Rejecting with a reason takes the request off the list and shows the Coordinator the reason</t>
  </si>
  <si>
    <t>A decided safety check shows the Safety Officer's decision</t>
  </si>
  <si>
    <t>SPM-48-TC16</t>
  </si>
  <si>
    <t>Equipment in ConnectSphere storage leaves the fixed transfer/prep time before the event</t>
  </si>
  <si>
    <t>Rewritten: the story's SPM-43-TC08 is out of date (SPM-93).
SPM-43 fixtures loaded; 'SPM43 Product Briefing' has a Pending request for Marina Auditorium (MAR-AUD), 5 May 2027, 13:00-18:00. Logged in as Marcus Wong. This case changes data: run npm run fixtures:spm43 when you finish this story's cases.</t>
  </si>
  <si>
    <t>Reason for rejection: Auditorium is closed for stage repairs that week. | Suggest another venue: No venue suggested</t>
  </si>
  <si>
    <t>1. Click 'Booking Requests' in the sidebar
2. On the 'SPM43 Product Briefing' card, click 'Reject with a reason'
3. Type the reason in 'Reason for rejection'
4. Leave 'Suggest another venue' on 'No venue suggested' and click 'Reject request'
5. Log out, then log in as daniel.tan@connectsphere.com / password123
6. Click 'All Events' in the sidebar and open 'SPM43 Product Briefing'
7. Click the 'Venue' tab</t>
  </si>
  <si>
    <t>SPM-33-TC08</t>
  </si>
  <si>
    <t>Step 4: A green 'Booking request rejected' message reads 'Marina Auditorium (MAR-AUD) for &lt;reference&gt; SPM43 Product Briefing on 5 May 2027, 13:00–18:00 is now Rejected. The Coordinator can see your reason on the event's Venue tab.' The card is no longer in the list.
Step 7: Under 'Booking requests', Marina Auditorium (MAR-AUD) shows '5 May 2027, 13:00–18:00 · Theatre', the badge 'Rejected' and 'Reason from Venue Staff: Auditorium is closed for stage repairs that week.' There is no 'Suggested alternative' line and no 'Request this venue' button.</t>
  </si>
  <si>
    <t>Rule source: customer Q&amp;A #2 - transfer and preparation time is considered when equipment must move to the event venue. Fixed at 2 hours (team proposal).
'Follow Spot': 1 total, 0 in maintenance, kept in ConnectSphere storage (no venue set).
Event 'Product Showcase' (2026-10-21, 11:00-15:00) is booked at Marina Auditorium and requests 1x Follow Spot.
This event has a venue, so it does not show 'Venue not yet chosen'.</t>
  </si>
  <si>
    <t>Event start: 2026-10-21 11:00, Equipment location: ConnectSphere storage, Event venue: Marina Auditorium, Transfer/prep time: 2 hours</t>
  </si>
  <si>
    <t>SPM-43-TC09-R</t>
  </si>
  <si>
    <t>1. Click Equipment Requests in the side menu
2. Open the equipment request for the Product Showcase event
3. Read the Follow Spot line under Requested items</t>
  </si>
  <si>
    <t>Yes - replaced by SPM-33-TC08-R on Jordan's sheet</t>
  </si>
  <si>
    <t>Venue Staff suggest another venue when rejecting; the Coordinator sees it and can start a request for it at the event's own times</t>
  </si>
  <si>
    <t>The line shows 'Leaves 21 Oct 2026, 09:00 — 2 hours before the event for transfer and preparation.'
The Follow Spot line shows the chip 'Available' and '1 total − 0 in maintenance − 0 reserved elsewhere = 1 available for these dates'.</t>
  </si>
  <si>
    <t>SPM-33-TC09</t>
  </si>
  <si>
    <t>Rewritten: the story's SPM-43-TC09 is out of date (SPM-93).
SPM-43 fixtures loaded; 'SPM43 Awards Dinner' (80 people, Banquet, 6 May 2027 19:00-22:00) has a Pending request for Orchard Gallery (ORC-GAL), 6 May 2027 19:00 to 7 May 2027 00:00. Logged in as Marcus Wong. This case changes data: run npm run fixtures:spm43 when you finish this story's cases.</t>
  </si>
  <si>
    <t>Reason for rejection: Gallery is closed for a private hire that evening. | Suggest another venue: Marina Grand Hall (MAR-GH)</t>
  </si>
  <si>
    <t>1. Click 'Booking Requests' in the sidebar
2. On the 'SPM43 Awards Dinner' card, click 'Reject with a reason'
3. Type the reason in 'Reason for rejection'
4. Open the 'Suggest another venue' list
5. Choose 'Marina Grand Hall (MAR-GH)' and click 'Reject request'
6. Log out, then log in as daniel.tan@connectsphere.com / password123
7. Click 'All Events' in the sidebar, open 'SPM43 Awards Dinner' and click the 'Venue' tab
8. Click 'Request this venue'</t>
  </si>
  <si>
    <t>SPM-48-TC19</t>
  </si>
  <si>
    <t>Units under maintenance are excluded from the available count</t>
  </si>
  <si>
    <t>Yes - replaced by SPM-33-TC09-R on Jordan's sheet</t>
  </si>
  <si>
    <t>Step 4: The list starts with 'No venue suggested' and offers the other venues, but not 'Orchard Gallery (ORC-GAL)'.
Step 5: A green 'Booking request rejected' message names Orchard Gallery (ORC-GAL), SPM43 Awards Dinner and '6 May 2027, 19:00 – 7 May 2027, 00:00', and says 'The Coordinator can see your reason and suggestion on the event's Venue tab.' The card leaves the list.
Step 7: Under 'Booking requests' there is one request: Orchard Gallery (ORC-GAL), '6 May 2027, 19:00 – 7 May 2027, 00:00 · Banquet', badge 'Rejected', 'Reason from Venue Staff: Gallery is closed for a private hire that evening.', 'Suggested alternative: Marina Grand Hall (MAR-GH)' and a 'Request this venue' button.
Step 8: The 'Request a venue booking' page opens for Venue 'Marina Grand Hall (MAR-GH)', filled in with Date 6 May 2027, Start time 19:00, End time 22:00, Expected attendance 80 and Room layout Banquet, reading 'Setup: 16:00–19:00 (180 min)', 'Turnaround: 22:00–24:00 (120 min)', 'Room in use: 16:00–24:00'. Nothing is sent until 'Submit request' is clicked.</t>
  </si>
  <si>
    <t>DO NOT run npx prisma db seed, whatever the text below says - it wipes the shared database. Use the base seed data as it is; if it no longer matches, mark the case Blocked.
'Document Camera': 5 total with 2 recorded as in maintenance, none reserved elsewhere.
Event 'Alumni Talk' (2026-10-28) requests 3x Document Camera.
Data: seeded by `npx prisma db seed` (SPM-48 test fixtures).
Logged in as Technical Support Staff (vikram.nair@connectsphere.com, password123).
Unless a case says otherwise, the event has no venue booked yet, so each line also shows 'Venue not yet chosen — transfer time not included.'</t>
  </si>
  <si>
    <t>SPM-33-TC10</t>
  </si>
  <si>
    <t>Equipment: Document Camera, Total: 5, In maintenance: 2, Requested: 3</t>
  </si>
  <si>
    <t>1. Click Equipment Requests in the side menu
2. Open the equipment request for the Alumni Talk event
3. Read the Document Camera line under Requested items</t>
  </si>
  <si>
    <t>SPM-44  Detect Venue Booking Conflicts  -  run npm run fixtures:spm44 before its first case</t>
  </si>
  <si>
    <t>One of two venue bookings is marked as not required and the other is unchanged</t>
  </si>
  <si>
    <t>The Document Camera line shows the chip 'Available' and '5 total − 2 in maintenance − 0 reserved elsewhere = 3 available for these dates'.
No 'Not everything requested is available.' banner is shown.</t>
  </si>
  <si>
    <t>SPM-48-TC21</t>
  </si>
  <si>
    <t>SPM-33-TC11</t>
  </si>
  <si>
    <t>A request with several lines shows a result per line and one overall banner</t>
  </si>
  <si>
    <t>SPM-44-TC02-R</t>
  </si>
  <si>
    <t>AC2, AC8</t>
  </si>
  <si>
    <t>A request at other times on the same day at the same venue is allowed when the occupied periods do not overlap</t>
  </si>
  <si>
    <t>Marking an event's only venue booking as not required still leaves it without a venue</t>
  </si>
  <si>
    <t>AC2, AC10</t>
  </si>
  <si>
    <t>DO NOT run npx prisma db seed, whatever the text below says - it wipes the shared database. Use the base seed data as it is; if it no longer matches, mark the case Blocked.
Event 'Vendor Networking Evening' (2026-11-15, 17:00-22:00, booked at Marina Grand Hall) requests 6x Lavalier Wireless Mic, 1x Streaming Encoder, 2x Truss Lighting Bar and 1x Marina Hall Sound System.
Stock for those dates: Lavalier Wireless Mic 10 total, 2 in maintenance, 4 held by 'Regional Tech Expo' (2026-11-14). Streaming Encoder 3 total, 2 held by 'Regional Tech Expo' and 1 by 'Annual Partner Awards Night' (2026-11-16). Truss Lighting Bar 6 total, 1 in maintenance. Marina Hall Sound System 1 total, kept at Marina Grand Hall.
Data: seeded by `npx prisma db seed` (SPM-48 test fixtures).
Logged in as Technical Support Staff (vikram.nair@connectsphere.com, password123).</t>
  </si>
  <si>
    <t>Rewritten: the story's SPM-44-TC02 is out of date (SPM-93).
Run npm run fixtures:spm44 before and after this case. 'SPM44 Approved Holder' has an Approved booking at SPM44 Conflict Room (SPM44-PLN) on 5 Apr 2027, 14:00-16:00. 'SPM44 Adjacent Slot' runs 5 Apr 2027, 09:00-11:00 and has no booking. The room has no setup or turnaround time. Logged in as Daniel Tan.</t>
  </si>
  <si>
    <t>Lavalier Wireless Mic: requested 6, available 4. Streaming Encoder: requested 1, available 1 (never more than 2 of 3 out on one day). Truss Lighting Bar: requested 2, available 5. Marina Hall Sound System: requested 1, available 1</t>
  </si>
  <si>
    <t>Event: SPM44 Adjacent Slot (5 Apr 2027, 09:00-11:00) | Venue: SPM44 Conflict Room (SPM44-PLN) | Already booked there: 14:00-16:00 the same day</t>
  </si>
  <si>
    <t>1. Click Equipment Requests in the side menu
2. Open the equipment request for the Vendor Networking Evening event
3. Read all four lines under Requested items
4. Read the area above the requested items</t>
  </si>
  <si>
    <t>1. Click 'All Events' in the sidebar and open 'SPM44 Adjacent Slot'
2. Click the 'Venue' tab
3. Click 'Request booking' on 'SPM44 Conflict Room (SPM44-PLN)'
4. Click 'Submit request'
5. Click 'Back to Venue'</t>
  </si>
  <si>
    <t>SPM-33-TC12</t>
  </si>
  <si>
    <t>Lavalier Wireless Mic shows the chip 'Partial', '10 total − 2 in maintenance − 4 reserved elsewhere = 4 available for these dates' and '6 requested, 4 available.'
Streaming Encoder shows the chip 'Available' and '3 total − 0 in maintenance − 2 reserved elsewhere = 1 available for these dates' - Regional Tech Expo's 2 units are back from 15 Nov and Annual Partner Awards Night holds only 1, so no more than 2 are out on either day this event needs (14-15 Nov).
Truss Lighting Bar shows the chip 'Available' and '6 total − 1 in maintenance − 0 reserved elsewhere = 5 available for these dates'.
Marina Hall Sound System shows the chip 'Available', '1 total − 0 in maintenance − 0 reserved elsewhere = 1 available for these dates' and 'Already at the venue: needed from 15 Nov 2026, 17:00.'
The banner 'Not everything requested is available.' is shown above the requested items.</t>
  </si>
  <si>
    <t>Step 3: The form is filled in with Date 5 Apr 2027, Start time 09:00, End time 11:00, Expected attendance 30, Room layout Classroom, and reads 'No setup or turnaround needed at this venue.' and 'Room in use: 09:00–11:00'.
Step 4: 'Booking request sent to Venue Staff.' is shown: the 14:00–16:00 booking does not block 09:00–11:00.
Step 5: The request is listed as 'SPM44 Conflict Room (SPM44-PLN)' with 'Main programme · 5 Apr 2027, 09:00–11:00 · Classroom · 30 attendees', 'Hold expires Hold expires' followed by the date and time 7 days after the request was sent, and the badge 'Pending'.</t>
  </si>
  <si>
    <t>SPM-49  Reserve Equipment  -  uses the base seed data (no fixture script)</t>
  </si>
  <si>
    <t>SPM-44-TC05-R</t>
  </si>
  <si>
    <t>A rejected booking does not hold its times</t>
  </si>
  <si>
    <t>Yes - replaced by SPM-33-TC12-R on Jordan's sheet</t>
  </si>
  <si>
    <t>AC7, AC10</t>
  </si>
  <si>
    <t>Rewritten: the story's SPM-44-TC05 is out of date (SPM-93).
Run npm run fixtures:spm44 before and after this case. 'SPM44 Rejected Holder' has a Rejected booking at SPM44 Conflict Room on 7 Apr 2027, 14:00-16:00. 'SPM44 After Rejected' runs 7 Apr 2027, 14:00-16:00 - the same room and times. Logged in as Daniel Tan.</t>
  </si>
  <si>
    <t>SPM-33-TC13</t>
  </si>
  <si>
    <t>Event: SPM44 After Rejected (7 Apr 2027, 14:00-16:00) | Venue: SPM44 Conflict Room (SPM44-PLN) | In the way: nothing - the other booking was rejected</t>
  </si>
  <si>
    <t>1. Click 'All Events' in the sidebar and open 'SPM44 After Rejected'
2. Click the 'Venue' tab
3. Click 'Request booking' on 'SPM44 Conflict Room (SPM44-PLN)'
4. Click 'Submit request'
5. Click 'Back to Venue'</t>
  </si>
  <si>
    <t>An equipment line that cannot be provided prevents confirmation until it is marked as not required</t>
  </si>
  <si>
    <t>SPM-49-TC01</t>
  </si>
  <si>
    <t>Step 3: The form is filled in with Date 7 Apr 2027, Start time 14:00, End time 16:00, and reads 'No setup or turnaround needed at this venue.' and 'Room in use: 14:00–16:00'.
Step 4: 'Booking request sent to Venue Staff.' is shown: a rejected booking holds nothing.
Step 5: The request is listed with 'Main programme · 7 Apr 2027, 14:00–16:00 · Classroom · 30 attendees', 'Hold expires Hold expires' followed by the date and time 7 days after the request was sent, and the badge 'Pending'.</t>
  </si>
  <si>
    <t>Reserve the full requested quantity when enough is available</t>
  </si>
  <si>
    <t>SPM-67  Withdraw or Release Venue Booking  -  run npm run fixtures:spm67 before its first case</t>
  </si>
  <si>
    <t>SPM-33-TC14</t>
  </si>
  <si>
    <t>DO NOT run npx prisma db seed, whatever the text below says - it wipes the shared database. Use the base seed data as it is; if it no longer matches, mark the case Blocked.
Rule (team decision): clicking Reserve always reserves the smaller of what was requested and what is available for that line - never more than requested, and never more than available. There is no quantity box to type into.
'Portable Stage': 6 total, 0 in maintenance, none held by other events for these dates.
Event 'Spring Fair' (2027-02-02) requests 3x Portable Stage (status 'Under review').
Data: seeded by `npx prisma db seed` (SPM-49 test fixtures). Every case that reserves changes the data, so reseed before running it again.
Logged in as Technical Support Staff (vikram.nair@connectsphere.com, password123).</t>
  </si>
  <si>
    <t>A Coordinator who is not the assigned one can view the arrangements but cannot mark them</t>
  </si>
  <si>
    <t>Equipment: Portable Stage, Requested: 3, Available: 6</t>
  </si>
  <si>
    <t>Negative</t>
  </si>
  <si>
    <t>1. Click Equipment Requests in the side menu
2. Open the equipment request for the Spring Fair event
3. Read the Portable Stage line
4. Click Reserve on the Portable Stage line</t>
  </si>
  <si>
    <t>SPM-67-TC01</t>
  </si>
  <si>
    <t>The message 'Reservation saved: 3 reserved.' appears on the Portable Stage line.
The Reserved box on the Portable Stage line shows 3.
The request status chip shows 'Reserved'.</t>
  </si>
  <si>
    <t>The assigned Coordinator withdraws one pending venue request with a reason, and the event's other pending request and approved booking are unchanged</t>
  </si>
  <si>
    <t>AC1, AC5, AC6</t>
  </si>
  <si>
    <t>SPM-33-TC17</t>
  </si>
  <si>
    <t>A visitor who is not logged in is sent to log in</t>
  </si>
  <si>
    <t>SPM-49-TC05</t>
  </si>
  <si>
    <t>Run `npm run fixtures:spm67` before this case. Do not run it again afterwards: go straight on to SPM-67-TC02, and reset after that one.
'SPM67 Pending Pair' (2 Nov 2027, 09:00–12:00) has three venue bookings: SPM67 Hall, Pending; SPM67 Studio, Pending; SPM67 Annex, Approved.
Logged out.</t>
  </si>
  <si>
    <t>The reservation is still there, with its type and quantity, after reloading</t>
  </si>
  <si>
    <t>Event: SPM67 Pending Pair | When: 2 Nov 2027, 09:00–12:00
Bookings: SPM67 Hall (SPM67-HAL), Pending | SPM67 Studio (SPM67-STU), Pending | SPM67 Annex (SPM67-ANX), Approved
Reason: The client has cut the guest list, so the main hall is no longer needed.</t>
  </si>
  <si>
    <t>DO NOT run npx prisma db seed, whatever the text below says - it wipes the shared database. Use the base seed data as it is; if it no longer matches, mark the case Blocked.
'Portable Stage': 6 total, 0 in maintenance, none held by other events for these dates.
Event 'Autumn Fair' (2027-02-09) requests 2x Portable Stage.
Data: seeded by `npx prisma db seed` (SPM-49 test fixtures). Every case that reserves changes the data, so reseed before running it again.
Logged in as Technical Support Staff (vikram.nair@connectsphere.com, password123).</t>
  </si>
  <si>
    <t>1. Log in as daniel.tan@connectsphere.com / password123
2. Click 'All Events' in the sidebar and open 'SPM67 Pending Pair'
3. Click the 'Venue' tab
4. Click 'Withdraw request' on the 'SPM67 Hall (SPM67-HAL)' row of the 'Booking requests' card
5. Type the reason in 'Reason (optional)'
6. Click 'Withdraw request' in the dialog
7. Click the 'Overview' tab</t>
  </si>
  <si>
    <t>Equipment: Portable Stage, Requested: 2</t>
  </si>
  <si>
    <t>1. Click Equipment Requests in the side menu
2. Open the equipment request for the Autumn Fair event
3. Click Reserve on the Portable Stage line
4. Reload the page in the browser
5. Read the Portable Stage line</t>
  </si>
  <si>
    <t>SPM-34-TC01</t>
  </si>
  <si>
    <t>After the reload the line still says Portable Stage and the Reserved box shows 2.
The request status chip shows 'Reserved'.</t>
  </si>
  <si>
    <t>SPM-34</t>
  </si>
  <si>
    <t>Step 2: On the Overview, the 'Venue' row reads 'SPM67 Annex (SPM67-ANX)'.
Step 3: The 'Booking requests' card lists three requests, each '2 Nov 2027, 09:00–12:00 · Theatre': 'SPM67 Hall (SPM67-HAL)' and 'SPM67 Studio (SPM67-STU)' with the 'Pending' badge and a 'Withdraw request' button, and 'SPM67 Annex (SPM67-ANX)' with the 'Approved' badge and a 'Release booking' button.
Step 4: A dialog 'Withdraw this request?' reads 'SPM67 Hall (SPM67-HAL) on 2 Nov 2027, 09:00–12:00 will no longer be requested, and Venue Staff will no longer see it on their Booking Requests list.' It has an empty 'Reason (optional)' box and the buttons 'Withdraw request' and 'Keep request'.
Step 6: The dialog closes. A green alert 'Request withdrawn' reads 'SPM67 Hall (SPM67-HAL) on 2 Nov 2027, 09:00–12:00 is now Withdrawn. You can request another venue below.' The Hall row is still listed, now with a grey 'Withdrawn' badge, no button, and the line 'Reason for withdrawal: The client has cut the guest list, so the main hall is no longer needed.' 'SPM67 Studio (SPM67-STU)' still has '2 Nov 2027, 09:00–12:00 · Theatre', 'Pending' and 'Withdraw request'; 'SPM67 Annex (SPM67-ANX)' still has '2 Nov 2027, 09:00–12:00 · Theatre', 'Approved' and 'Release booking'.
Step 7: The 'Venue' row still reads 'SPM67 Annex (SPM67-ANX)'.</t>
  </si>
  <si>
    <t>An event whose arrangements are all complete can be confirmed</t>
  </si>
  <si>
    <t>SPM-49-TC19</t>
  </si>
  <si>
    <t>Each session of a multi-session event is reserved against its own dates</t>
  </si>
  <si>
    <t>Yes - replaced by SPM-34-TC01-R on Jordan's sheet</t>
  </si>
  <si>
    <t>AC3, AC4, AC5</t>
  </si>
  <si>
    <t>SPM-67-TC02</t>
  </si>
  <si>
    <t>A withdrawn request leaves Venue Staff's Booking Requests list, while the same event's other pending request stays on it</t>
  </si>
  <si>
    <t>SPM-34-TC02</t>
  </si>
  <si>
    <t>DO NOT run npx prisma db seed, whatever the text below says - it wipes the shared database. Use the base seed data as it is; if it no longer matches, mark the case Blocked.
Rule source: customer Q&amp;A #74 (sessions can need different equipment).
'Wireless Presenter': 4 total, 0 in maintenance. Event 'Trade Mixer' (2027-06-07) already holds all 4 (reserved).
Event 'Two-Day Forum' has session 'Day 1' (2027-06-07) and session 'Day 2' (2027-06-21), each requesting 2x Wireless Presenter.
Data: seeded by `npx prisma db seed` (SPM-49 test fixtures). Every case that reserves changes the data, so reseed before running it again.
Logged in as Technical Support Staff (vikram.nair@connectsphere.com, password123).</t>
  </si>
  <si>
    <t>Equipment: Wireless Presenter, Requested: 2 per session, Day 1: 2027-06-07 (held), Day 2: 2027-06-21</t>
  </si>
  <si>
    <t>1. Click Equipment Requests in the side menu
2. Open the equipment request for the Two-Day Forum event
3. Read the Wireless Presenter line under Day 1 and under Day 2
4. Click Reserve on the Day 2 line
5. Look for a Reserve button on the Day 1 line</t>
  </si>
  <si>
    <t>SPM-67-TC01 has just been run ('SPM67 Pending Pair' now has SPM67 Hall Withdrawn, SPM67 Studio Pending and SPM67 Annex Approved).
Still logged in as Daniel Tan.
Run `npm run fixtures:spm67` after this case.</t>
  </si>
  <si>
    <t>Day 1 shows the chip 'Unavailable' and '4 total − 0 in maintenance − 4 reserved elsewhere = 0 available for these dates'.
Day 2 shows the chip 'Available' and '4 total − 0 in maintenance − 0 reserved elsewhere = 4 available for these dates'.
Day 2: the reservation is saved and its Reserved box shows 2.
Day 1: no Reserve button is offered.</t>
  </si>
  <si>
    <t>Venue Staff: Marcus Wong
Event: SPM67 Pending Pair | Withdrawn: SPM67 Hall (SPM67-HAL) | Still pending: SPM67 Studio (SPM67-STU)</t>
  </si>
  <si>
    <t>1. Log out
2. Log in as marcus.wong@connectsphere.com / password123
3. Click 'Booking Requests' in the sidebar
4. Search the page for 'SPM67 Pending Pair' (Ctrl+F)</t>
  </si>
  <si>
    <t>Yes - replaced by SPM-34-TC02-R on Jordan's sheet</t>
  </si>
  <si>
    <t>Step 4: Exactly one card is for 'SPM67 Pending Pair': 'SPM67 Studio (SPM67-STU)', with the 'Pending' badge, 'Requested' '2 Nov 2027, 09:00–12:00', and its 'Approve' and 'Reject with a reason' buttons. No card for 'SPM67 Hall (SPM67-HAL)' and 'SPM67 Pending Pair' is on the page.</t>
  </si>
  <si>
    <t>SPM-34-TC03</t>
  </si>
  <si>
    <t>SPM-49-TC20</t>
  </si>
  <si>
    <t>A saved reservation can be viewed by another Technical Support user</t>
  </si>
  <si>
    <t>SPM-67-TC03</t>
  </si>
  <si>
    <t>The assigned Coordinator releases one approved booking with a reason, Venue Staff are told of it, and the event's other approved booking is unchanged</t>
  </si>
  <si>
    <t>AC3, AC5, AC6, AC7</t>
  </si>
  <si>
    <t>DO NOT run npx prisma db seed, whatever the text below says - it wipes the shared database. Use the base seed data as it is; if it no longer matches, mark the case Blocked.
Rule source: customer Q&amp;A #66 (Technical Support is not restricted by equipment type or location).
'Portable Stage': 6 total, 0 in maintenance.
Event 'Reserved Showcase' (2027-07-05) already has a reservation for 3x Portable Stage (status 'Reserved'), made by another Technical Support user.
Data: seeded by `npx prisma db seed` (SPM-49 test fixtures).
Logged in as Technical Support Staff (chloe.teo@connectsphere.com, password123).</t>
  </si>
  <si>
    <t>Equipment: Portable Stage, Requested: 3, Reserved: 3</t>
  </si>
  <si>
    <t>Yes - replaced by SPM-34-TC03-R on Jordan's sheet</t>
  </si>
  <si>
    <t>1. Click Equipment Requests in the side menu
2. Open the equipment request for the Reserved Showcase event
3. Read the Portable Stage line</t>
  </si>
  <si>
    <t>Run `npm run fixtures:spm67` before this case, and again after it.
'SPM67 Release Pair' (4 Nov 2027, 09:00–12:00) has two Approved bookings: SPM67 Hall and SPM67 Studio.
Logged in as Daniel Tan (daniel.tan@connectsphere.com / password123).</t>
  </si>
  <si>
    <t>The Reserved box on the Portable Stage line shows 3.
The request status chip shows 'Reserved'.
The breakdown reads '6 total − 0 in maintenance − 0 reserved elsewhere = 6 available for these dates' (the event's own reservation is not counted against itself).</t>
  </si>
  <si>
    <t>SPM-34-TC04</t>
  </si>
  <si>
    <t>Event: SPM67 Release Pair | When: 4 Nov 2027, 09:00–12:00
Bookings: SPM67 Hall (SPM67-HAL), Approved | SPM67 Studio (SPM67-STU), Approved
Reason: Plenary moved to the client's own auditorium.</t>
  </si>
  <si>
    <t>1. Click 'All Events' in the sidebar and open 'SPM67 Release Pair'
2. Click the 'Venue' tab
3. Click 'Release booking' on the 'SPM67 Hall (SPM67-HAL)' row of the 'Booking requests' card
4. Type the reason in 'Reason (optional)'
5. Click 'Release booking' in the dialog
6. Click the 'Overview' tab</t>
  </si>
  <si>
    <t>An event that needs no equipment confirms on its venue alone</t>
  </si>
  <si>
    <t>SPM-50  Review and Update Equipment Request  -  run npm run fixtures:spm50 before its first case</t>
  </si>
  <si>
    <t>Step 1: On the Overview, the 'Venue' row names both rooms, separated by ' · ': 'SPM67 Hall (SPM67-HAL)' and 'SPM67 Studio (SPM67-STU)'.
Step 2: The 'Booking requests' card lists both, each with '4 Nov 2027, 09:00–12:00 · Theatre', the 'Approved' badge and a 'Release booking' button.
Step 3: A dialog 'Release this booking?' reads 'SPM67 Hall (SPM67-HAL) on 4 Nov 2027, 09:00–12:00 will be freed for other events, and Venue Staff will be notified.' It has an empty 'Reason (optional)' box and the buttons 'Release booking' and 'Keep booking'.
Step 5: The dialog closes. A green alert 'Booking released' reads 'SPM67 Hall (SPM67-HAL) on 4 Nov 2027, 09:00–12:00 is now Released. Venue Staff have been notified. You can request another venue below.' The Hall row is still listed, now with a grey 'Released' badge, no button, and the line 'Reason for release: Plenary moved to the client's own auditorium.' 'SPM67 Studio (SPM67-STU)' still has '4 Nov 2027, 09:00–12:00 · Theatre', 'Approved' and 'Release booking'.
Step 6: The 'Venue' row reads 'SPM67 Studio (SPM67-STU)' only.</t>
  </si>
  <si>
    <t>Yes - replaced by SPM-34-TC04-R on Jordan's sheet</t>
  </si>
  <si>
    <t>SPM-34-TC05</t>
  </si>
  <si>
    <t>SPM-67-TC05-R</t>
  </si>
  <si>
    <t>After the event's only booking is released, its venue is shown as outstanding and the Coordinator can request a different venue</t>
  </si>
  <si>
    <t>SPM-50-TC01</t>
  </si>
  <si>
    <t>AC8, AC3</t>
  </si>
  <si>
    <t>Technical Support sees every requested item with its quantity and the Coordinator's technical requirements</t>
  </si>
  <si>
    <t>Equipment that Technical Support could only partly supply still counts as arranged</t>
  </si>
  <si>
    <t>Event 'Robotics Expo' (2027-08-02, status 'Planning') has two equipment lines recorded by its Coordinator:
- 2x Wireless Presenter, technical requirements 'Must pair with the stage laptop over USB-C'
- 3x Confidence Monitor, technical requirements 'Floor wedges facing the speaker, HDMI from the lectern'
Data: run `npm run fixtures:spm50` first.
Logged in as Technical Support Staff (vikram.nair@connectsphere.com, password123).</t>
  </si>
  <si>
    <t>Rewritten: the story's SPM-67-TC05 is out of date (SPM-88).
Run npm run fixtures:spm67 before and after this case. 'SPM67 Only Room' (16 Nov 2027, 09:00-12:00, Planning) has one booking, SPM67 Hall, Approved, and no equipment. Logged in as Daniel Tan.</t>
  </si>
  <si>
    <t>Event: Robotics Expo
Lines: Wireless Presenter x2, Confidence Monitor x3</t>
  </si>
  <si>
    <t>Event: SPM67 Only Room | Released: SPM67 Hall (SPM67-HAL) | Reason: Hall too large once the client confirmed numbers. | Requested instead: SPM67 Annex (SPM67-ANX)</t>
  </si>
  <si>
    <t>1. Click Equipment Requests in the side menu
2. Find the Robotics Expo row in the list
3. Open the equipment request for the Robotics Expo event
4. Read the Wireless Presenter line
5. Read the Confidence Monitor line</t>
  </si>
  <si>
    <t>1. Click 'All Events' in the sidebar and open 'SPM67 Only Room'
2. Click the 'Venue' tab
3. Click 'Release booking' on the 'SPM67 Hall (SPM67-HAL)' row
4. Type the reason in 'Reason (optional)'
5. Click 'Release booking' in the dialog
6. Click the 'Readiness' tab
7. Click the 'Overview' tab
8. Click 'Confirm event'
9. Click 'Confirm event' in the dialog
10. Click the 'Venue' tab
11. Click 'Request booking' on 'SPM67 Annex (SPM67-ANX)'
12. Click 'Submit request'
13. Click 'Back to Venue'</t>
  </si>
  <si>
    <t>Step 2: The Robotics Expo row shows 'Equipment lines' = 2.
Step 3: The Equipment request page opens with the heading 'Equipment request' and the subtitle 'Robotics Expo · ' followed by the event's date and time.
Step 4: The line shows 'Wireless Presenter', Requested 2, its Status chip, and 'Technical requirements: Must pair with the stage laptop over USB-C'.
Step 5: The line shows 'Confidence Monitor', Requested 3, its Status chip, and 'Technical requirements: Floor wedges facing the speaker, HDMI from the lectern'.</t>
  </si>
  <si>
    <t>SPM-34-TC06</t>
  </si>
  <si>
    <t>SPM-50-TC04</t>
  </si>
  <si>
    <t>An event with no venue cannot be confirmed, and the missing venue is named</t>
  </si>
  <si>
    <t>Step 1: On the Overview, the 'Venue' row reads 'SPM67 Hall (SPM67-HAL)'.
Step 5: A green alert 'Booking released' reads 'SPM67 Hall (SPM67-HAL) on 16 Nov 2027, 09:00–12:00 is now Released. Venue Staff have been notified. You can request another venue below.' The Hall row shows '16 Nov 2027, 09:00–12:00 · Theatre', 'Released' and 'Reason for release: Hall too large once the client confirmed numbers.'
Step 6: '2 arrangements still block confirmation' is shown. Under 'Venue bookings' the only row is 'No venue booked', 'Outstanding', 'No venue is booked for this event.' 'Operational Safety Check' is 'Outstanding' (Not submitted).
Step 7: The 'Venue' row reads 'Not booked yet'.
Step 9: The event stays 'Planning'. A red alert reads 'This event cannot be confirmed yet: no venue is booked for this event; the Operational Safety Check has not been submitted yet.'
Step 12: 'Booking request sent to Venue Staff.' is shown.
Step 13: The 'Booking requests' card lists 'SPM67 Annex (SPM67-ANX)' with 'Main programme · 16 Nov 2027, 09:00–12:00 · Theatre · 30 attendees', a 'Hold expires' line and 'Pending', and 'SPM67 Hall (SPM67-HAL)' with 'Released'.</t>
  </si>
  <si>
    <t>Line marked 'Cannot be provided' can be reopened to Under review</t>
  </si>
  <si>
    <t>AC2, AC3</t>
  </si>
  <si>
    <t>Event 'Design Week' (2027-08-16, status 'Planning') has a 'Ring Light' x2 line already marked 'Cannot be provided' with technical notes 'Both units out for repair'.
Data: run `npm run fixtures:spm50` first, and again before repeating the case.
Logged in as Technical Support Staff (vikram.nair@connectsphere.com, password123).</t>
  </si>
  <si>
    <t>SPM-81  Request More Than One Venue for an Event  -  run npm run fixtures:spm81 before its first case</t>
  </si>
  <si>
    <t>Fulfilment status: Cannot be provided -&gt; Under review
Technical notes: Repair finished early, re-checking availability</t>
  </si>
  <si>
    <t>1. Open the equipment request for the Design Week event
2. On the Ring Light line, click 'Update'
3. In 'Fulfilment status', choose 'Under review'
4. In 'Technical notes', replace the text with the test data
5. Click 'Save'</t>
  </si>
  <si>
    <t>SPM-34-TC07</t>
  </si>
  <si>
    <t>Step 5: 'Update saved.' appears. The Status chip shows 'Under review' and the line's technical notes read 'Repair finished early, re-checking availability'.</t>
  </si>
  <si>
    <t>A venue request still awaiting a decision does not count as an arrangement</t>
  </si>
  <si>
    <t>SPM-81-TC01</t>
  </si>
  <si>
    <t>The Coordinator requests two different venues for the same event at the same date and times, and both requests are accepted and listed together</t>
  </si>
  <si>
    <t>SPM-50-TC08</t>
  </si>
  <si>
    <t>AC1, AC3, AC6</t>
  </si>
  <si>
    <t>Technical Support records technical notes, sees who updated the line, and can clear them</t>
  </si>
  <si>
    <t>SPM-40-TC10</t>
  </si>
  <si>
    <t>Run `npm run fixtures:spm81` from the project folder before this case (it only touches the 'SPM81 …' events and venues, never anyone else's data). Run it again after this case: the case sends two booking requests.
Logged out.</t>
  </si>
  <si>
    <t>SPM-40</t>
  </si>
  <si>
    <t>Robotics Expo's Wireless Presenter line is 'Requested' with no technical notes.
Data: run `npm run fixtures:spm50` first, and again before repeating the case.
Logged in as Technical Support Staff (vikram.nair@connectsphere.com, password123).</t>
  </si>
  <si>
    <t>Technical notes: Presenters need fresh AAA batteries; USB-C dongle is in kit bag 3 -&gt; (empty)</t>
  </si>
  <si>
    <t>Event: SPM81 Leadership Summit | When: 3 Aug 2027, 09:00–17:00 | No sessions | Status: Planning | No booking requests yet
Venues: SPM81 Auditorium (SPM81-AUD), setup 30 min, turnaround 30 min; SPM81 Breakout Room A (SPM81-BRA), no setup or turnaround
Both requested for 3 Aug 2027, 09:00–17:00</t>
  </si>
  <si>
    <t>A venue whose setup slot is taken by the next morning's booking is hidden</t>
  </si>
  <si>
    <t>1. Open the equipment request for the Robotics Expo event
2. On the Wireless Presenter line, click 'Update'
3. Leave 'Fulfilment status' as 'Requested'
4. In 'Technical notes', enter the test data
5. Click 'Save'
6. Refresh the page
7. On the Wireless Presenter line, click 'Update'
8. Delete all text in 'Technical notes'
9. Click 'Save'</t>
  </si>
  <si>
    <t>1. Log in as daniel.tan@connectsphere.com / password123
2. Click 'All Events' in the sidebar and open 'SPM81 Leadership Summit'
3. Click the 'Venue' tab
4. Click 'Request booking' on 'SPM81 Auditorium (SPM81-AUD)'
5. Click 'Submit request'
6. Click 'Back to Venue'
7. Click 'Request booking' on 'SPM81 Breakout Room A (SPM81-BRA)'
8. Click 'Submit request'
9. Click 'Back to Venue'</t>
  </si>
  <si>
    <t>SPM-93</t>
  </si>
  <si>
    <t>Step 5: 'Update saved.' appears. The Status chip still shows 'Requested'.
Step 6: The line shows 'Technical Support notes: Presenters need fresh AAA batteries; USB-C dongle is in kit bag 3', separately from 'Technical requirements: Must pair with the stage laptop over USB-C', which is unchanged. It also shows 'Last updated by Vikram Nair, ' followed by the date and time of the save (for example '2 Oct 2026, 14:05').
Step 9: 'Update saved.' appears and the line shows 'Technical Support notes: —'. The Status chip still shows 'Requested'.</t>
  </si>
  <si>
    <t>Venue bookings are now made for a start and end time in 15-minute steps. The AM, PM and Night slots, their tick boxes and the calendar's slot columns are gone; setup and turnaround are in minutes, the room in use has to fit the venue's opening hours, and requests show a hold expiry (SPM-82) and a space (SPM-90).</t>
  </si>
  <si>
    <t>Step 4: The 'Request a venue booking' page opens for 'SPM81 Leadership Summit' at 'SPM81 Auditorium (SPM81-AUD)'. 'Date' shows 3 Aug 2027, 'Start time' 09:00 and 'End time' 17:00, with 'Room in use: 08:30–17:30'.
Step 5: A green alert 'Booking request sent to Venue Staff.' is shown.
Step 6: The Venue tab's 'Booking requests' card lists 'SPM81 Auditorium (SPM81-AUD)' with '3 Aug 2027, 09:00–17:00 · Theatre' and the 'Pending' badge. 'Request booking' is still offered on 'SPM81 Breakout Room A (SPM81-BRA)'.
Step 7: The page opens for 'SPM81 Breakout Room A (SPM81-BRA)' with the same date and times: 3 Aug 2027, 09:00 to 17:00.
Step 8: A green alert 'Booking request sent to Venue Staff.' is shown. The request is not refused because the event already has a request for the Auditorium at the same times.
Step 9: The 'Booking requests' card lists both requests together: 'SPM81 Auditorium (SPM81-AUD)' and 'SPM81 Breakout Room A (SPM81-BRA)', each with '3 Aug 2027, 09:00–17:00 · Theatre' and its own 'Pending' badge.</t>
  </si>
  <si>
    <t>SPM-102 bug created to fix ui change when techincal support notes is too long</t>
  </si>
  <si>
    <t>SPM-55  Record Equipment Unavailability  -  run npm run fixtures:spm55 before its first case</t>
  </si>
  <si>
    <t>SPM-42-TC01</t>
  </si>
  <si>
    <t>Test case not updatd after SPM-90. "What is this space for?" starts empty on an event's second room request, so clicking 'Submit request' shows "Say what this space is for." instead of the green alert.</t>
  </si>
  <si>
    <t>SPM-42</t>
  </si>
  <si>
    <t>SPM-81-TC05</t>
  </si>
  <si>
    <t>Coordinator requests a suitable venue, with venue requirements and layout</t>
  </si>
  <si>
    <t>Venue Staff see each of an event's venue requests as its own card, and approving one leaves the other Pending</t>
  </si>
  <si>
    <t>SPM-93, SPM-90</t>
  </si>
  <si>
    <t>SPM-55-TC01</t>
  </si>
  <si>
    <t>Venue bookings are now made for a start and end time in 15-minute steps. The AM, PM and Night slots, their tick boxes and the calendar's slot columns are gone; setup and turnaround are in minutes, the room in use has to fit the venue's opening hours, and requests show a hold expiry (SPM-82) and a space (SPM-90). Also: the case's venue, Changi Conference Centre, cannot take a 09:00 start any more (its 120 min setup would begin before it opens at 07:30). The rewrite uses Marina Auditorium.</t>
  </si>
  <si>
    <t>Run before SPM-81-TC06, which continues from this case.
Run `npm run fixtures:spm81` before this case. Do not run it again afterwards: go straight on to SPM-81-TC06, and reset after that one.
'SPM81 Partner Day' has two Pending requests for 17 Aug 2027, 09:00–12:00: one at SPM81 Auditorium and one at SPM81 Breakout Room A.
Logged out.</t>
  </si>
  <si>
    <t>Technical Support record some units of an item as under maintenance, with a reason</t>
  </si>
  <si>
    <t>Yes - replaced by SPM-42-TC01-R on Sammi's sheet</t>
  </si>
  <si>
    <t>Event: SPM81 Partner Day | When: 17 Aug 2027, 09:00–12:00
Requests: SPM81 Auditorium (SPM81-AUD), Pending; SPM81 Breakout Room A (SPM81-BRA), Pending</t>
  </si>
  <si>
    <t>SPM-42-TC03</t>
  </si>
  <si>
    <t>1. Log in as marcus.wong@connectsphere.com / password123
2. Click 'Booking Requests' in the sidebar
3. Find the 'SPM81 Auditorium' card for 'SPM81 Partner Day' (use Ctrl+F) and click 'Approve'
4. Click 'Approve' in the dialog</t>
  </si>
  <si>
    <t>Run before SPM-55-TC02, which continues from this case.
npm run fixtures:spm55 has been run. 'SPM55 Laser Projector' has 4 units in total and none out of service. Logged in as Technical Support Kenji Sato (kenji.sato@connectsphere.com / password123). This case changes the item - SPM-55-TC02 and TC03 read the result, so go straight to those and run npm run fixtures:spm55 after TC03.</t>
  </si>
  <si>
    <t>Item: SPM55 Laser Projector (4 units)
Units out of service: 2
Type: Under maintenance
Reason: Lamp replacement</t>
  </si>
  <si>
    <t>A request for one slot books that whole slot; venue requirements may be left empty</t>
  </si>
  <si>
    <t>1. Click 'Equipment' in the sidebar
2. Click 'Record unavailability' on the 'SPM55 Laser Projector' row
3. Type 2 in 'Units out of service'
4. Choose 'Under maintenance' in 'Type'
5. Type 'Lamp replacement' in 'Reason (optional)'
6. Click 'Save'</t>
  </si>
  <si>
    <t>Step 2: The 'Booking Requests' page lists two separate cards for 'SPM81 Partner Day': 'SPM81 Auditorium (SPM81-AUD)' and 'SPM81 Breakout Room A (SPM81-BRA)'. Each has its own 'Pending' badge, a 'Requested' row reading '17 Aug 2027, 09:00–12:00', and its own 'Approve' and 'Reject with a reason' buttons.
Step 3: The 'Approve this booking?' dialog names only the Auditorium: 'This books SPM81 Auditorium (SPM81-AUD) for &lt;reference&gt; SPM81 Partner Day on 17 Aug 2027, 09:00–12:00.'
Step 4: A green alert 'Booking approved' reads 'SPM81 Auditorium (SPM81-AUD) for &lt;reference&gt; SPM81 Partner Day on 17 Aug 2027, 09:00–12:00 is now Approved — the room is booked.' The Auditorium card leaves the list. The 'SPM81 Breakout Room A' card for 'SPM81 Partner Day' is still listed with the 'Pending' badge, no 'Conflict' badge, and its 'Approve' button enabled.</t>
  </si>
  <si>
    <t>Step 1: The Equipment page lists the catalogue. 'SPM55 Laser Projector' shows Total units 4, Out of service 0 and the status 'Available'.
Step 2: A dialog headed 'Record unavailability - SPM55 Laser Projector' opens with 'Units out of service', 'Type' and 'Reason (optional)'.
Step 6: The dialog closes and the message 'Saved. 2 of 4 SPM55 Laser Projector units are out of service. No reservations were affected.' is shown. The row now shows Out of service 2, the status 'Partly out of service', and 'Under maintenance - Lamp replacement' in the Reason column.</t>
  </si>
  <si>
    <t>SPM-81-TC06</t>
  </si>
  <si>
    <t>Rejecting one of an event's venue requests leaves its other, approved booking unchanged</t>
  </si>
  <si>
    <t>SPM-42-TC04</t>
  </si>
  <si>
    <t>SPM-55-TC02</t>
  </si>
  <si>
    <t>AC7, AC5, AC6</t>
  </si>
  <si>
    <t>Units out of service are left out of the availability check and of what Reserve takes</t>
  </si>
  <si>
    <t>Run straight after SPM-81-TC05 - do not reset the fixtures in between.
SPM-81-TC05 has just been run (SPM81 Auditorium is Approved for 'SPM81 Partner Day'; its request for SPM81 Breakout Room A is still Pending).
Still logged in as Marcus Wong, on the 'Booking Requests' page.
Run `npm run fixtures:spm81` after this case.</t>
  </si>
  <si>
    <t>An event with no sessions spanning AM and PM is requested on its own date and consumes both slots in full</t>
  </si>
  <si>
    <t>Reason for rejection: Breakout Room A is reserved for staff training that morning.</t>
  </si>
  <si>
    <t>Run straight after SPM-55-TC01 - do not reset the fixtures in between.
SPM-55-TC01 has just been run (so 2 of the 4 'SPM55 Laser Projector' units are out of service) and the fixtures have NOT been reset since. 'SPM55 Availability Check Forum' (Planning, 9 Aug 2027) requests 4 SPM55 Laser Projectors, not yet reserved, and nothing else holds them that week. Still logged in as Kenji Sato.</t>
  </si>
  <si>
    <t>SPM-93, SPM-82</t>
  </si>
  <si>
    <t>Event: SPM55 Availability Check Forum (Planning)
Request: SPM55 Laser Projector x 4
Out of service: 2 of 4</t>
  </si>
  <si>
    <t>1. Find the 'SPM81 Breakout Room A' card for 'SPM81 Partner Day' (use Ctrl+F) and click 'Reject with a reason'
2. Type the reason in 'Reason for rejection' and click 'Reject request'
3. Log out
4. Log in as daniel.tan@connectsphere.com / password123
5. Click 'All Events' in the sidebar and open 'SPM81 Partner Day'
6. Click the 'Venue' tab</t>
  </si>
  <si>
    <t>1. Click 'Equipment Requests' in the sidebar
2. Click 'SPM55 Availability Check Forum' in the list
3. Click 'Reserve' on the 'SPM55 Laser Projector' line</t>
  </si>
  <si>
    <t>Yes - replaced by SPM-42-TC04-R on Sammi's sheet</t>
  </si>
  <si>
    <t>Step 2: The 'SPM55 Laser Projector' line reads '4 total − 2 out of service − 0 reserved elsewhere = 2 available for these dates' and '4 requested, 2 available.', with the availability chip 'Partial'.
Step 3: The message 'Reservation saved: 2 reserved.' is shown and the line's status becomes 'Partially fulfilled' with 2 reserved - the 2 units out of service were not reserved.</t>
  </si>
  <si>
    <t>Step 2: A green alert 'Booking request rejected' reads 'SPM81 Breakout Room A (SPM81-BRA) for &lt;reference&gt; SPM81 Partner Day on 17 Aug 2027, 09:00–12:00 is now Rejected. The Coordinator can see your reason on the event's Venue tab.' The card leaves the list.
Step 5: On the Overview, the 'Venue' row still reads 'SPM81 Auditorium (SPM81-AUD)'.
Step 6: The 'Booking requests' card lists both requests. 'SPM81 Auditorium (SPM81-AUD)', '17 Aug 2027, 09:00–12:00 · Theatre', still has the 'Approved' badge. 'SPM81 Breakout Room A (SPM81-BRA)', '17 Aug 2027, 09:00–12:00 · Theatre', has the 'Rejected' badge and 'Reason from Venue Staff: Breakout Room A is reserved for staff training that morning.'</t>
  </si>
  <si>
    <t>SPM-42-TC05</t>
  </si>
  <si>
    <t>SPM-81-TC08</t>
  </si>
  <si>
    <t>SPM-55-TC03</t>
  </si>
  <si>
    <t>Slot choices that are empty, or not next to each other, are refused (team decision: contiguous slots)</t>
  </si>
  <si>
    <t>Returning every unit to available counts them in the availability check again</t>
  </si>
  <si>
    <t>An event with a single venue booking is shown as before: one room on the Overview and one request on the Venue tab</t>
  </si>
  <si>
    <t>AC5, AC3</t>
  </si>
  <si>
    <t>SPM-55-TC02 has just been run (2 of the 4 'SPM55 Laser Projector' units out of service, 2 reserved for SPM55 Availability Check Forum) and the fixtures have NOT been reset since. 'SPM55 Return Check Seminar' (Planning, 23 Aug 2027) requests 4 SPM55 Laser Projectors, not yet reserved; nothing else holds them that week. Still logged in as Kenji Sato. Run npm run fixtures:spm55 after this case.</t>
  </si>
  <si>
    <t>`npm run fixtures:spm81` has been run since the last full `npx prisma db seed`.
'SPM81 Solo Workshop' has one Approved booking, at SPM81 Auditorium on 26 Aug 2027, 09:00–12:00.
Logged in as Daniel Tan (daniel.tan@connectsphere.com / password123).
Nothing is saved in this case.</t>
  </si>
  <si>
    <t>Item: SPM55 Laser Projector (2 of 4 out of service)
Event: SPM55 Return Check Seminar (Planning), requests 4</t>
  </si>
  <si>
    <t>Event: SPM81 Solo Workshop | When: 26 Aug 2027, 09:00–12:00
Booking: SPM81 Auditorium (SPM81-AUD), Approved, 09:00–12:00</t>
  </si>
  <si>
    <t>1. Click 'Equipment' in the sidebar
2. Click 'Return all to available' on the 'SPM55 Laser Projector' row
3. Click 'Return to available' in the dialog
4. Click 'Equipment Requests' in the sidebar
5. Click 'SPM55 Return Check Seminar' in the list</t>
  </si>
  <si>
    <t>1. Click 'All Events' in the sidebar and open 'SPM81 Solo Workshop'
2. Click the 'Venue' tab</t>
  </si>
  <si>
    <t>SPM-42-TC06</t>
  </si>
  <si>
    <t>Step 2: A dialog headed 'Return all units to available?' says the 2 units out of service will be counted as available again.
Step 3: The message 'All SPM55 Laser Projector units are back in service.' is shown. The row shows Out of service 0, the status 'Available', and the Reason column shows '—'.
Step 5: The 'SPM55 Laser Projector' line reads '4 total − 0 out of service − 0 reserved elsewhere = 4 available for these dates' with the chip 'Available'.</t>
  </si>
  <si>
    <t>Step 1: On the Overview, the 'Venue' row reads 'SPM81 Auditorium (SPM81-AUD)' and nothing else.
Step 2: The 'Booking requests' card lists one request: 'SPM81 Auditorium (SPM81-AUD)' with '26 Aug 2027, 09:00–12:00 · Theatre' and the 'Approved' badge. The venue list below it is unchanged: each suitable venue has 'Suitable' and a 'Request booking' button.</t>
  </si>
  <si>
    <t>Setup and turnaround each take exactly one adjacent slot, including the previous or following day</t>
  </si>
  <si>
    <t>SPM-55-TC06</t>
  </si>
  <si>
    <t>SPM-82  Expire Tentative Venue Hold  -  run npm run fixtures:spm82 before its first case</t>
  </si>
  <si>
    <t>A reservation left short is flagged for review, not cancelled, and its Coordinator notified</t>
  </si>
  <si>
    <t>SPM-42-TC07</t>
  </si>
  <si>
    <t>npm run fixtures:spm55 has been run. 'SPM55 Wireless Presenter' has 6 units, none out of service. It is Reserved: 4 for 'SPM55 Harbour Product Launch' (Planning, 10 Aug 2027, coordinator Daniel Tan), 2 for 'SPM55 Quiet Board Meeting' (Planning, 24 Aug 2027) and 6 for 'SPM55 Past Roadshow' (Completed, 1 Sep 2026). Logged in as Kenji Sato (kenji.sato@connectsphere.com / password123). This case changes the item - run npm run fixtures:spm55 afterwards.</t>
  </si>
  <si>
    <t>Item: SPM55 Wireless Presenter (6 units), 3 marked Damaged
Reservations: Harbour Product Launch 4 (upcoming), Quiet Board Meeting 2 (upcoming), Past Roadshow 6 (completed)</t>
  </si>
  <si>
    <t>A venue with no setup or turnaround holds only the chosen slots, even one more than the event needs</t>
  </si>
  <si>
    <t>1. Click 'Equipment' in the sidebar
2. Click 'Record unavailability' on the 'SPM55 Wireless Presenter' row
3. Type 3 in 'Units out of service'
4. Choose 'Damaged' in 'Type'
5. Type 'Dropped in transit' in 'Reason (optional)'
6. Click 'Save'
7. Click 'Log out' in the top bar
8. Log in as daniel.tan@connectsphere.com with password123
9. Click 'All Events' in the sidebar
10. Click 'SPM55 Harbour Product Launch' in the list
11. Click the 'Equipment' tab</t>
  </si>
  <si>
    <t>SPM-82-TC01</t>
  </si>
  <si>
    <t>Step 6: An amber panel reads 'Saved - 1 reservation flagged for review, coordinators notified'. It lists 'SPM55 Harbour Product Launch: 4 reserved, 3 available' and says the reservation has NOT been changed or cancelled. 'SPM55 Quiet Board Meeting' (2 reserved, 3 still enough) and 'SPM55 Past Roadshow' (already over) are not listed.
Step 11: The 'SPM55 Wireless Presenter' requirement is still listed with status 'Reserved' and 4 reserved - flagging did not cancel or reduce it.</t>
  </si>
  <si>
    <t>A new venue request is held for 7 days, and the Coordinator sees when the hold expires</t>
  </si>
  <si>
    <t>SPM-86  Submit Event for Operational Safety Check  -  run npm run fixtures:spm86 before its first case</t>
  </si>
  <si>
    <t>Run npm run fixtures:spm82 before and after this case (it changes data). 'SPM82 Fresh Request Expo' (8 Mar 2027, 09:00-12:00) is in Planning with no venue booking. Logged in as Daniel Tan (Event Coordinator), its assigned coordinator. Note the date and time you click 'Submit request'.</t>
  </si>
  <si>
    <t>SPM-42-TC08</t>
  </si>
  <si>
    <t>Event: SPM82 Fresh Request Expo (8 Mar 2027, 09:00-12:00)
Venue: SPM82 Hold Room (SPM82-HOLD)
Expected expiry: exactly 7 days after the moment the request is submitted</t>
  </si>
  <si>
    <t>1. Click 'All Events' in the sidebar and open 'SPM82 Fresh Request Expo'
2. Click the 'Venue' tab
3. Find 'SPM82 Hold Room (SPM82-HOLD)' in the venue list and click 'Request booking'
4. Click 'Submit request'
5. Click 'Back to Venue'</t>
  </si>
  <si>
    <t>Slots that do not cover the session's (or event's) own time are refused</t>
  </si>
  <si>
    <t>Step 4: 'Booking request sent to Venue Staff.' is shown.
Step 5: Under 'Booking requests', the SPM82 Hold Room request has the 'Pending' badge and reads 'Hold expires &lt;date and time&gt;', where that is the same time of day, 7 days after you submitted it.</t>
  </si>
  <si>
    <t>SPM-86-TC01</t>
  </si>
  <si>
    <t>An event whose venue and equipment are both held can be submitted for a safety check</t>
  </si>
  <si>
    <t>SPM-82-TC05</t>
  </si>
  <si>
    <t>SPM-42-TC09</t>
  </si>
  <si>
    <t>Venue Staff bring a hold's expiry forward, and once that time passes the hold leaves their list and the event shows it as Expired</t>
  </si>
  <si>
    <t>Run before SPM-86-TC02, SPM-86-TC03, SPM-86-TC04, which continue from this case.
npm run fixtures:spm86 has been run. 'SPM86 Harbour Safety Ready' is in Planning, assigned to Daniel Tan, with an approved venue booking at Orchard Seminar Room and one equipment requirement (Handheld Wireless Mic) with status Reserved. Logged in as Event Coordinator Daniel Tan (daniel.tan@connectsphere.com / password123). This case changes the event's status - SPM-86-TC02, TC03 and TC04 read the result, so go straight to those and run npm run fixtures:spm86 after TC04.</t>
  </si>
  <si>
    <t>A 3-session event gets one request per session, each using its session's date, time and layout</t>
  </si>
  <si>
    <t>Event: SPM86 Harbour Safety Ready (Planning)
Venue: Orchard Seminar Room, booking Approved
Equipment: Handheld Wireless Mic, Reserved
Coordinator: Daniel Tan</t>
  </si>
  <si>
    <t>Run npm run fixtures:spm82 before and after this case (it changes data). 'SPM82 Countdown Clinic' has a pending hold at SPM82 Hold Room expiring 20 Jan 2027, 09:00. Logged in as Marcus Wong (Venue Staff).</t>
  </si>
  <si>
    <t>1. Click 'All Events' in the sidebar
2. Click 'SPM86 Harbour Safety Ready' in the list
3. Click 'Submit for safety check'
4. Click 'Submit' in the dialog</t>
  </si>
  <si>
    <t>Event: SPM82 Countdown Clinic
New expiry: 2 minutes after the current time
Coordinator: daniel.tan@connectsphere.com / password123</t>
  </si>
  <si>
    <t>SPM-93, SPM-54, SPM-90</t>
  </si>
  <si>
    <t>Step 2: The event opens with the status badge 'Planning' and a 'Submit for safety check' button in the header.
Step 3: A dialog headed 'Submit for safety check?' appears, saying the event will move to Safety review and the Safety Officer will be notified.
Step 4: The message 'The event has been submitted for a safety check. The Safety Officer has been notified.' is shown and the status badge changes to 'Safety review'.</t>
  </si>
  <si>
    <t>1. Click 'Booking Requests' in the sidebar
2. On the 'SPM82 Countdown Clinic' card, click 'Change expiry'
3. Set 'New expiry' to 2 minutes from now and click 'Save expiry'
4. Wait until that time has passed, then click 'Booking Requests' in the sidebar
5. Log out
6. Log in as daniel.tan@connectsphere.com / password123
7. Click 'All Events' in the sidebar and open 'SPM82 Countdown Clinic'
8. Click the 'Venue' tab</t>
  </si>
  <si>
    <t>Venue bookings are now made for a start and end time in 15-minute steps. The AM, PM and Night slots, their tick boxes and the calendar's slot columns are gone; setup and turnaround are in minutes, the room in use has to fit the venue's opening hours, and requests show a hold expiry (SPM-82) and a space (SPM-90). Also: the fixture's Day 3 session (19:00-22:00, Banquet) can no longer be booked at any seeded venue - every Banquet room's turnaround runs past its closing time. The rewrite expects that refusal; the fixture needs a Day 3 time that fits.</t>
  </si>
  <si>
    <t>Step 3: 'Hold expiry changed to &lt;the time you chose&gt;.' is shown, and the card's 'Hold expires' row reads that time.
Step 4: The 'SPM82 Countdown Clinic' card is no longer listed: the hold has expired.
Step 8: Under 'Booking requests', SPM82 Hold Room has the badge 'Expired' and reads 'Hold expired on &lt;the time you chose in step 3&gt;'.</t>
  </si>
  <si>
    <t>Yes - replaced by SPM-42-TC09-R on Sammi's sheet</t>
  </si>
  <si>
    <t>SPM-86-TC02</t>
  </si>
  <si>
    <t>SPM-42-TC11</t>
  </si>
  <si>
    <t>The submission is recorded with who submitted it and when, and the event cannot be submitted again</t>
  </si>
  <si>
    <t>SPM-82-TC06</t>
  </si>
  <si>
    <t>AC8, AC6</t>
  </si>
  <si>
    <t>An expired hold stays on the event, marked Expired and distinct from pending, approved, rejected and withdrawn bookings - and an approved booking does not expire</t>
  </si>
  <si>
    <t>AC4, AC8, AC11</t>
  </si>
  <si>
    <t>The request reaches Venue Staff and shows Pending</t>
  </si>
  <si>
    <t>Run straight after SPM-86-TC01 - do not reset the fixtures in between.
SPM-86-TC01 has just been run (so 'SPM86 Harbour Safety Ready' is in Safety review) and the fixtures have NOT been reset since. Still logged in as Daniel Tan, on the event's page. Note the date and time TC01 step 4 was done.</t>
  </si>
  <si>
    <t>npm run fixtures:spm82 has been run. 'SPM82 Lapsed Workshop' (22 Feb 2027, 14:00-17:00) has five venue bookings: SPM82 Hold Room (pending, hold due to expire 1 Oct 2026, 09:00 - now past), Orchard Seminar Room (approved; its hold deadline of 1 Oct 2026 also passed before it was approved), Marina Auditorium (rejected), Orchard Gallery (withdrawn) and One-North Seminar Room (pending, hold expires 20 Feb 2027, 09:00). Logged in as Daniel Tan (Event Coordinator).</t>
  </si>
  <si>
    <t>Event: SPM86 Harbour Safety Ready, now Safety review
Submitted by: Daniel Tan</t>
  </si>
  <si>
    <t>SPM-93, SPM-82, SPM-90</t>
  </si>
  <si>
    <t>Event: SPM82 Lapsed Workshop
Bookings: SPM82 Hold Room (hold expired 1 Oct 2026, 09:00); Orchard Seminar Room (approved); Marina Auditorium (rejected); Orchard Gallery (withdrawn); One-North Seminar Room (pending, expires 20 Feb 2027, 09:00)</t>
  </si>
  <si>
    <t>1. Reload the page in the browser</t>
  </si>
  <si>
    <t>1. Click 'All Events' in the sidebar and open 'SPM82 Lapsed Workshop'
2. Click the 'Venue' tab</t>
  </si>
  <si>
    <t>Step 2: Under 'Booking requests' all five are listed, each with its own badge: SPM82 Hold Room 'Expired' with 'Hold expired on 1 Oct 2026, 09:00'; One-North Seminar Room 'Pending' with 'Hold expires 20 Feb 2027, 09:00'; Orchard Seminar Room 'Approved' with no expiry line; Marina Auditorium 'Rejected'; Orchard Gallery 'Withdrawn'.</t>
  </si>
  <si>
    <t>Step 1: The status badge still reads 'Safety review' after reloading, and there is no 'Submit for safety check' button anywhere on the page - a safety check is already pending. In the 'Details' card, the row under 'Status' is 'Safety check', reading 'Awaiting review · submitted by Daniel Tan, &lt;date and time of TC01 step 4&gt;' (e.g. 'Awaiting review · submitted by Daniel Tan, 9 Oct 2026, 14:30'), in Singapore time.</t>
  </si>
  <si>
    <t>Yes - replaced by SPM-42-TC11-R on Sammi's sheet</t>
  </si>
  <si>
    <t>SPM-82-TC07</t>
  </si>
  <si>
    <t>The Coordinator is warned only when a hold expires within 24 hours and told when a hold has expired, and each notification opens the event's Venue tab</t>
  </si>
  <si>
    <t>SPM-42-TC14</t>
  </si>
  <si>
    <t>SPM-86-TC03</t>
  </si>
  <si>
    <t>Run npm run fixtures:spm82 before this case. 'SPM82 Closing Soon Forum' has a pending hold at SPM82 Hold Room expiring 12 hours after the fixtures were run. 'SPM82 Lapsed Workshop' has a hold at SPM82 Hold Room whose expiry, 1 Oct 2026, 09:00, has passed. 'SPM82 Harbour Product Briefing' has a pending hold at SPM82 Hold Room expiring 15 Jan 2027, 09:00 - months away. Logged in as Daniel Tan (Event Coordinator), the assigned coordinator of both. Run npm run fixtures:spm82 after this case.</t>
  </si>
  <si>
    <t>A slot that is booked, on hold, or unavailable is refused (#35, #41)</t>
  </si>
  <si>
    <t>Warning: SPM82 Closing Soon Forum, hold expires about 12 hours after the fixtures ran
Expired: SPM82 Lapsed Workshop, hold expired 1 Oct 2026, 09:00
Not due: SPM82 Harbour Product Briefing, hold expires 15 Jan 2027, 09:00</t>
  </si>
  <si>
    <t>The Event Organiser sees that their event is in Safety review</t>
  </si>
  <si>
    <t>1. Click 'Notifications' in the sidebar
2. Click 'Venue hold expired'</t>
  </si>
  <si>
    <t>Step 1: The list includes 'Venue hold expires soon' for 'SPM82 Closing Soon Forum', saying the hold on SPM82 Hold Room (SPM82-HOLD) expires at a time about 12 hours after the fixtures ran, and 'Venue hold expired' for 'SPM82 Lapsed Workshop', saying the hold on SPM82 Hold Room (SPM82-HOLD) expired on 1 Oct 2026, 09:00 and the venue has been released. Both are Unread. There is no 'Venue hold expires soon' for 'SPM82 Harbour Product Briefing', whose hold is not due for months.
Step 2: The Venue tab of 'SPM82 Lapsed Workshop' opens.</t>
  </si>
  <si>
    <t>Run straight after SPM-86-TC01 - do not reset the fixtures in between.
SPM-86-TC02 has just been run (so 'SPM86 Harbour Safety Ready' is in Safety review) and the fixtures have NOT been reset since. Rachel Ng (rachel.ng@meridianfina.com / password123) is the Event Organiser who raised it.</t>
  </si>
  <si>
    <t>SPM-82-TC09</t>
  </si>
  <si>
    <t>Account: rachel.ng@meridianfina.com (Event Organiser)
Event: SPM86 Harbour Safety Ready, Safety review</t>
  </si>
  <si>
    <t>After a hold expires the Coordinator can request the same room again, and the new request replaces the expired one as the venue arrangement</t>
  </si>
  <si>
    <t>AC5, AC10</t>
  </si>
  <si>
    <t>1. Click 'Log out' in the top bar
2. Log in as rachel.ng@meridianfina.com with password123
3. Click 'My Events' in the sidebar
4. Click 'SPM86 Harbour Safety Ready' in the list</t>
  </si>
  <si>
    <t>Run npm run fixtures:spm82 before and after this case (it changes data). 'SPM82 Expired Only Talk' (1 Mar 2027, 14:00-16:00): its only venue booking, a hold at SPM82 Hold Room, expired on 1 Oct 2026, 09:00. Logged in as Daniel Tan (Event Coordinator).</t>
  </si>
  <si>
    <t>Step 2: The Dashboard opens and 'SPM86 Harbour Safety Ready' is listed under a 'Safety review' heading.
Step 3: 'SPM86 Harbour Safety Ready' appears in the organiser's list with the status 'Safety review'.
Step 4: The event opens with the status badge 'Safety review'. There is no 'Submit for safety check' button, and the 'Details' card shows 'Status: Safety review' with no 'Safety check' row - who submitted it is shown to staff only.</t>
  </si>
  <si>
    <t>Event: SPM82 Expired Only Talk
Room requested again: SPM82 Hold Room (SPM82-HOLD), 1 Mar 2027, 14:00-16:00</t>
  </si>
  <si>
    <t>1. Click 'All Events' in the sidebar and open 'SPM82 Expired Only Talk'
2. Click the 'Venue' tab
3. Find 'SPM82 Hold Room (SPM82-HOLD)' in the venue list and click 'Request booking'
4. Click 'Submit request'
5. Click 'Back to Venue'
6. Click the 'Readiness' tab</t>
  </si>
  <si>
    <t>SPM-42-TC15</t>
  </si>
  <si>
    <t>Step 4: 'Booking request sent to Venue Staff.' is shown - the expired hold does not block the same room.
Step 5: Under 'Booking requests' the new SPM82 Hold Room request is 'Pending' with its own 'Hold expires' line, and the old one is still listed as 'Expired'.
Step 6: Under 'Venue bookings', SPM82 Hold Room shows 'Space: Main programme · Booking status: Pending' and is 'Outstanding' only as 'SPM82 Hold Room (Main programme) for this event is still awaiting a decision from Venue Staff.' The expired hold is no longer listed as outstanding.</t>
  </si>
  <si>
    <t>A clash only through setup or turnaround slots is refused (#123, #35)</t>
  </si>
  <si>
    <t>SPM-82-TC11</t>
  </si>
  <si>
    <t>The availability calendar shows an active hold as Requested but no longer shows an expired one</t>
  </si>
  <si>
    <t>SPM-86-TC04</t>
  </si>
  <si>
    <t>Technical Support and the Operations Manager see the Safety review status</t>
  </si>
  <si>
    <t>Run before SPM-82-TC10, which continues from this case.
npm run fixtures:spm82 has been run (and SPM-82-TC10 has not been run since). On SPM82 Hold Room: 'SPM82 Harbour Product Briefing' holds 8 Feb 2027, 09:00-12:00 (pending); 'SPM82 Lapsed Workshop' held 22 Feb 2027, 14:00-17:00 until its hold expired. Logged in as Daniel Tan (Event Coordinator).</t>
  </si>
  <si>
    <t>Venue: SPM82 Hold Room (SPM82-HOLD)
Active hold: 8 Feb 2027, 09:00-12:00 (SPM82 Harbour Product Briefing)
Expired hold: 22 Feb 2027, 14:00-17:00 (SPM82 Lapsed Workshop)</t>
  </si>
  <si>
    <t>1. Click 'Venues' in the sidebar
2. Click 'View availability' on the 'SPM82 Hold Room (SPM82-HOLD)' row
3. Set 'From' to 8 Feb 2027 and 'To' to 14 Feb 2027, and click 'Show availability'
4. Set 'From' to 22 Feb 2027 and 'To' to 28 Feb 2027, and click 'Show availability'</t>
  </si>
  <si>
    <t>Step 3: Under 'Requested, not yet approved', the 'SPM82 Harbour Product Briefing' hold on 8 Feb 2027 is listed.
Step 4: 'SPM82 Lapsed Workshop' appears nowhere on the calendar, and there is no 'Requested, not yet approved' list: the room has no hold that week.</t>
  </si>
  <si>
    <t>Run straight after SPM-86-TC01 - do not reset the fixtures in between.
SPM-86-TC03 has just been run (so 'SPM86 Harbour Safety Ready' is in Safety review) and the fixtures have NOT been reset since. Run npm run fixtures:spm86 after this case.</t>
  </si>
  <si>
    <t>SPM-42-TC16</t>
  </si>
  <si>
    <t>Technical Support: kenji.sato@connectsphere.com
Operations Manager: grace.lim@connectsphere.com
Event: SPM86 Harbour Safety Ready, Safety review</t>
  </si>
  <si>
    <t>1. Click 'Log out' in the top bar
2. Log in as kenji.sato@connectsphere.com with password123
3. Click 'Equipment Requests' in the sidebar
4. Click 'Log out' in the top bar
5. Log in as grace.lim@connectsphere.com with password123
6. Click 'All Events' in the sidebar</t>
  </si>
  <si>
    <t>Cancelled and rejected bookings do not block a request (#41)</t>
  </si>
  <si>
    <t>SPM-82-TC10</t>
  </si>
  <si>
    <t>Step 2: Kenji Sato's Dashboard lists 'SPM86 Harbour Safety Ready' under 'Upcoming events' with the badge 'Safety review'.
Step 3: The Equipment Requests list still includes 'SPM86 Harbour Safety Ready', with 'Safety review' in the 'Event status' column - Technical Support keep sight of the reserved mic while the check is pending.
Step 6: 'SPM86 Harbour Safety Ready' appears in Grace Lim's list with the status 'Safety review'.</t>
  </si>
  <si>
    <t>Venue search and a new booking request treat the time an expired hold took up, including the room's setup and turnaround, as free</t>
  </si>
  <si>
    <t>Run straight after SPM-82-TC11 - do not reset the fixtures in between.
Run npm run fixtures:spm82 before and after this case (it changes data). SPM82 Hold Room has 60 minutes of setup and 60 of turnaround. 'SPM82 Lapsed Workshop' held it on 22 Feb 2027, 14:00-17:00 - occupying 13:00-18:00 with setup and turnaround - until the hold expired on 1 Oct 2026, 09:00. 'SPM82 Rival Seminar' runs 22 Feb 2027, 17:00-19:00, so its own setup starts at 16:00. 'SPM82 Harbour Product Briefing' still holds the room on 8 Feb 2027, 09:00-12:00 (its hold expires 15 Jan 2027). Logged in as Daniel Tan (Event Coordinator).</t>
  </si>
  <si>
    <t>Expired hold: SPM82 Lapsed Workshop, 22 Feb 2027, 14:00-17:00 (occupying 13:00-18:00)
Active hold: SPM82 Harbour Product Briefing, 8 Feb 2027, 09:00-12:00
Search 1: 22 Feb 2027, 15:00-16:00
Search 2: 8 Feb 2027, 10:00-11:00
New request: SPM82 Rival Seminar, 22 Feb 2027, 17:00-19:00 (occupying 16:00-20:00)</t>
  </si>
  <si>
    <t>SPM-87  Conduct Operational Safety Check  -  run npm run fixtures:spm87 before its first case</t>
  </si>
  <si>
    <t>1. Click 'Venues' in the sidebar and click 'Find a venue'
2. Set 'From' to 22 Feb 2027, 15:00 and 'To' to 22 Feb 2027, 16:00, and click 'Search'
3. Set 'From' to 8 Feb 2027, 10:00 and 'To' to 8 Feb 2027, 11:00, and click 'Search'
4. Click 'All Events' in the sidebar and open 'SPM82 Rival Seminar'
5. Click the 'Venue' tab
6. Find 'SPM82 Hold Room (SPM82-HOLD)' in the venue list and click 'Request booking'
7. Click 'Submit request'</t>
  </si>
  <si>
    <t>SPM-43-TC01</t>
  </si>
  <si>
    <t>Step 2: 'SPM82 Hold Room' is among the results: the expired hold of 'SPM82 Lapsed Workshop' no longer makes it unavailable at that time.
Step 3: 'SPM82 Hold Room' is not among the results: an active hold (SPM82 Harbour Product Briefing) still takes the room out of the search.
Step 7: 'Booking request sent to Venue Staff.' is shown. The request is not refused as on hold for 'SPM82 Lapsed Workshop', although its setup and turnaround overlap the time that hold took up.</t>
  </si>
  <si>
    <t>SPM-43</t>
  </si>
  <si>
    <t>Venue Staff see the pending requests, each with its venue, date, slots and event details</t>
  </si>
  <si>
    <t>SPM-68  Review Flagged Arrangements  -  run npm run fixtures:spm68 before its first case</t>
  </si>
  <si>
    <t>SPM-87-TC01</t>
  </si>
  <si>
    <t>Yes - replaced by SPM-43-TC01-R on Sammi's sheet</t>
  </si>
  <si>
    <t>The Safety Checks list shows events awaiting a check, earliest event date first</t>
  </si>
  <si>
    <t>SPM-43-TC02</t>
  </si>
  <si>
    <t>npm run fixtures:spm87 has been run. Five SPM87 events are in Safety review: 'SPM87 Hillside Workshop' (8 Oct 2027), 'SPM87 Lakeside Conference' (12 Oct 2027), 'SPM87 Waterfront Gala' (18 Oct 2027), 'SPM87 Rooftop Launch Party' (20 Oct 2027) and 'SPM87 Twin Tab Briefing' (22 Oct 2027). They were submitted in the reverse order, newest event first. 'SPM87 Unsubmitted Planning Day' is in Planning. Other stories' events may also be listed; only the SPM87 ones are checked here.</t>
  </si>
  <si>
    <t>A request for one session shows that session's own time, attendance and layout, not the event's</t>
  </si>
  <si>
    <t>Safety Officer: hana.yusof@connectsphere.com (Hana Yusof)
SPM87 events in Safety review dated 8, 12, 18, 20 and 22 Oct 2027</t>
  </si>
  <si>
    <t>SPM-68-TC01</t>
  </si>
  <si>
    <t>1. Log in as hana.yusof@connectsphere.com with password123
2. Click 'Safety Checks' in the sidebar</t>
  </si>
  <si>
    <t>The Flagged Arrangements page lists a flagged venue booking, equipment reservation and registrations on their own tabs, each with the event, the arrangement, why it was flagged and its current result, and leaves out the event's unflagged booking</t>
  </si>
  <si>
    <t>Step 2: The Safety Checks page lists the five SPM87 events in Safety review in this order: SPM87 Hillside Workshop, SPM87 Lakeside Conference, SPM87 Waterfront Gala, SPM87 Rooftop Launch Party, SPM87 Twin Tab Briefing - by event date, not by when they were submitted. 'SPM87 Unsubmitted Planning Day' is not listed.</t>
  </si>
  <si>
    <t>AC1, AC2, AC3, AC4, AC5, AC8</t>
  </si>
  <si>
    <t>The SPM-68 fixtures are loaded (npm run fixtures:spm68). 'SPM68 Listing Summit' is in Planning, assigned to Daniel Tan, on 7 Oct 2027, 09:00-17:00, for 50 people in Theatre layout. It has two approved venue bookings: SPM68 Hall (flagged for review) and SPM68 Annex (not flagged). Its reservation of 2 SPM68 Projector is flagged, and so are its registrations (12 registered, 3 on the waiting list). Logged in as Event Coordinator Daniel Tan (daniel.tan@connectsphere.com / password123). Nothing is changed in this case. Other stories' fixtures may add items to the same page; check only the items named here.</t>
  </si>
  <si>
    <t>SPM-43-TC03</t>
  </si>
  <si>
    <t>SPM-87-TC02</t>
  </si>
  <si>
    <t>Event: SPM68 Listing Summit (Planning), 7 Oct 2027, 09:00-17:00, 50 people, Theatre
Venue bookings: SPM68 Hall (Approved, flagged), SPM68 Annex (Approved, not flagged)
Equipment: SPM68 Projector x 2 (Reserved, flagged); 4 in stock
Registrations: 12 registered, 3 on the waiting list (flagged)
Coordinator: Daniel Tan</t>
  </si>
  <si>
    <t>The review shows attendance, each venue with its capacity, layout, opening hours and unavailable periods, accessibility needs and equipment</t>
  </si>
  <si>
    <t>1. Click 'Flagged Arrangements' in the sidebar
2. Click the 'Equipment reservations' tab
3. Click the 'Registrations' tab
4. Click the 'Venue bookings' tab
5. Click 'SPM68 Listing Summit' in its item
6. Click the 'Venue' tab</t>
  </si>
  <si>
    <t>Approving a request books the room: it leaves the list, the calendar shows it Booked, and the Coordinator sees it Approved</t>
  </si>
  <si>
    <t>npm run fixtures:spm87 has been run. 'SPM87 Hillside Workshop' (8 Oct 2027, 10:00-13:00, 50 attendees, accessibility: 'Two attendees use wheelchairs; step-free route needed') is in Safety review with an approved booking at SPM87 Hillside Studio (Theatre, seats 60, open 08:00-22:00), which is unavailable for maintenance on 8 Oct 2027 from 07:00 to 09:00, and a Reserved Handheld Wireless Mic. Logged in as Hana Yusof (hana.yusof@connectsphere.com / password123).</t>
  </si>
  <si>
    <t>Event: SPM87 Hillside Workshop (Safety review)
Venue: SPM87 Hillside Studio, Theatre, seats 60, open 08:00-22:00, maintenance 8 Oct 2027 07:00-09:00
Equipment: Handheld Wireless Mic, Reserved</t>
  </si>
  <si>
    <t>Step 1: The 'Flagged Arrangements' page opens, with the link after 'Review Queue' in the sidebar. It has three tabs, 'Venue bookings', 'Equipment reservations' and 'Registrations', each followed by how many are flagged, and opens on 'Venue bookings'. There is an item for 'SPM68 Listing Summit' showing 'SPM68 Hall (SPM68-HAL)', '7 Oct 2027, 09:00–17:00', 'Theatre', 'Flagged because: the date or time changed; the venue requirements changed', 'Suitability: Suitable' and 'Availability: Available', with the buttons 'Keep booking', 'Find a replacement venue' and 'Open Venue tab'. There is no item for SPM68 Annex. No equipment or registrations are shown on this tab.
Step 2: The 'Equipment reservations' tab shows an item for 'SPM68 Listing Summit' with 'SPM68 Projector', 'Flagged because: the date or time changed' and 'Availability: 2 reserved, 4 available for these dates.', with the buttons 'Keep reservation' and 'Open Equipment tab'. No venue booking is shown on this tab.
Step 3: The 'Registrations' tab shows an item for 'SPM68 Listing Summit' with '12 registered, 3 on the waiting list' and 'Flagged because: the date or time changed', with the buttons 'Mark as reviewed' and 'Open Overview'.
Step 4: The 'SPM68 Listing Summit' item for SPM68 Hall is shown again.
Step 5: The event's Overview opens, with the status badge 'Planning'.
Step 6: Under 'Booking requests', both SPM68 Hall and SPM68 Annex are listed as 'Approved'.</t>
  </si>
  <si>
    <t>1. Click 'Safety Checks' in the sidebar
2. Click 'SPM87 Hillside Workshop' in the list
3. Click the 'Equipment' tab</t>
  </si>
  <si>
    <t>Yes - replaced by SPM-43-TC03-R on Sammi's sheet</t>
  </si>
  <si>
    <t>SPM-68-TC05-R</t>
  </si>
  <si>
    <t>A flagged venue booking blocks confirmation until it is kept; keeping it clears the flag and leaves the booking unchanged</t>
  </si>
  <si>
    <t>Step 2: The event opens with the status 'Safety review'. Expected attendance reads 50, the accessibility notes read 'Two attendees use wheelchairs; step-free route needed', and the 'Venue bookings' card shows 'SPM87 Hillside Studio (SPM87-STU) · Theatre · seats 60', its opening hours '08:00–22:00', and 'Unavailable 8 Oct 2027, 07:00–09:00 (Maintenance)'.
Step 3: The Equipment tab lists Handheld Wireless Mic with its quantity and the status 'Reserved'.</t>
  </si>
  <si>
    <t>AC6, AC4, AC14, AC15</t>
  </si>
  <si>
    <t>SPM-43-TC04</t>
  </si>
  <si>
    <t>Rewritten: the story's SPM-68-TC05 is out of date (SPM-88).
Run npm run fixtures:spm68 before and after this case. 'SPM68 Attendance Review' is in Planning, assigned to Daniel Tan, 6 Oct 2027, 09:00-17:00, 80 people, Theatre. Its only booking, SPM68 Hall (Approved, Theatre seats 100), is flagged because the expected attendance changed. Logged in as Daniel Tan.</t>
  </si>
  <si>
    <t>Event: SPM68 Attendance Review (Planning) | Booking: SPM68 Hall (Approved, flagged: the expected attendance changed)</t>
  </si>
  <si>
    <t>1. Click 'All Events' in the sidebar and open 'SPM68 Attendance Review'
2. Click the 'Readiness' tab
3. Click 'Keep booking' in the 'SPM68 Hall' item
4. Click the 'Venue' tab
5. Click 'Flagged Arrangements' in the sidebar</t>
  </si>
  <si>
    <t>Once one of two requests for the same room and slot is approved, the other is in conflict and cannot be approved</t>
  </si>
  <si>
    <t>SPM-87-TC03</t>
  </si>
  <si>
    <t>Step 2: '2 arrangements still block confirmation' is shown. 'SPM68 Hall' (Booking status: Approved) is 'Outstanding': 'SPM68 Hall for this event is flagged for review: the expected attendance changed.', with 'Review in Flagged Arrangements', 'Keep booking' and 'Mark as not required'. 'Operational Safety Check' is 'Outstanding' (Not submitted).
Step 3: 'Flag cleared' is shown with 'SPM68 Hall was kept as it is.' 'SPM68 Hall' is now 'Complete', with no flag, no 'Keep booking' and no 'Review in Flagged Arrangements'. The message changes to '1 arrangement still blocks confirmation' (the safety check).
Step 4: Under 'Booking requests', SPM68 Hall is still 'Approved' for 6 Oct 2027, 09:00–17:00 in Theatre layout.
Step 5: On the 'Venue bookings' tab there is no item for 'SPM68 Attendance Review'.</t>
  </si>
  <si>
    <t>The Safety Officer approves an event, which becomes Safety approved with the decision recorded</t>
  </si>
  <si>
    <t>AC3, AC7, AC10, AC11</t>
  </si>
  <si>
    <t>SPM-68-TC11</t>
  </si>
  <si>
    <t>Flagged registrations show how many attendees are registered or waitlisted and why, link to the event's Overview where the registration settings are changed, and marking them as reviewed clears the flag without changing those settings</t>
  </si>
  <si>
    <t>AC8, AC9</t>
  </si>
  <si>
    <t>Run before SPM-87-TC04, SPM-87-TC05, which continue from this case.
npm run fixtures:spm87 has been run. 'SPM87 Waterfront Gala' is in Safety review, submitted by Daniel Tan. Logged in as Hana Yusof (hana.yusof@connectsphere.com / password123). Note the date and time of step 5. This case changes the event - SPM-87-TC04 and TC05 read the result, so go straight to those and run npm run fixtures:spm87 after TC05.</t>
  </si>
  <si>
    <t>SPM-43-TC05</t>
  </si>
  <si>
    <t>Run npm run fixtures:spm68 before and after this case. 'SPM68 Capacity Cut' is in Planning, assigned to Daniel Tan, with registration enabled and a registration capacity of 10; it has 12 attendees registered and 3 on the waiting list, flagged because the capacity was lowered. 'SPM68 Registration Off' is in Planning, assigned to Daniel Tan, with registration not enabled and 5 attendees registered, flagged because registration was turned off. Logged in as Daniel Tan.</t>
  </si>
  <si>
    <t>Event: SPM87 Waterfront Gala (Safety review)
Decision: Approve (no reason needed)</t>
  </si>
  <si>
    <t>SPM68 Capacity Cut: registration enabled, capacity 10, 12 registered, 3 on the waiting list
SPM68 Registration Off: registration not enabled, 5 registered, 0 on the waiting list</t>
  </si>
  <si>
    <t>1. Click 'Flagged Arrangements' in the sidebar
2. Click the 'Registrations' tab
3. Click 'Open Overview' in the 'SPM68 Registration Off' item
4. Click 'Flagged Arrangements' in the sidebar
5. Click the 'Registrations' tab
6. Click 'Mark as reviewed' in the 'SPM68 Capacity Cut' item
7. Click 'All Events' in the sidebar
8. Click 'SPM68 Capacity Cut' in the list</t>
  </si>
  <si>
    <t>A request that clashes only through an approved booking's turnaround slot cannot be approved</t>
  </si>
  <si>
    <t>1. Click 'Safety Checks' in the sidebar
2. Click 'SPM87 Waterfront Gala' in the list
3. Click 'Record safety decision'
4. Choose 'Approve'
5. Click 'Record decision'</t>
  </si>
  <si>
    <t>Step 2: On the 'Registrations' tab, the 'SPM68 Capacity Cut' item shows '12 registered, 3 on the waiting list' and 'Flagged because: the registration capacity was lowered below the number registered or waitlisted'. The 'SPM68 Registration Off' item shows '5 registered, 0 on the waiting list' and 'Flagged because: registration was turned off'. Each has the buttons 'Mark as reviewed' and 'Open Overview', and no 'Keep' button.
Step 3: The Overview of 'SPM68 Registration Off' opens. Its Registration card shows Registration 'Not enabled for this event' and has a 'Change registration settings' button.
Step 6: The message 'Flag cleared' is shown with 'Registrations for SPM68 Capacity Cut were marked as reviewed. No registration was changed.' The 'SPM68 Capacity Cut' item is no longer listed. The 'SPM68 Registration Off' item is still listed.
Step 8: On the Overview, the Registration card still shows Registration 'Enabled' and Capacity '10'. The status badge still reads 'Planning'.</t>
  </si>
  <si>
    <t>Step 3: A dialog headed 'Record safety decision' opens with the choices 'Approve', 'Request changes' and 'Reject'.
Step 4: No reason box is shown for Approve.
Step 5: The message 'Safety check approved. The coordinator has been notified.' is shown. The status badge changes to 'Safety approved', the 'Safety check' row reads 'Approved · decided by Hana Yusof, &lt;date and time of step 5&gt;', and the 'Record safety decision' button is gone.</t>
  </si>
  <si>
    <t>SPM-68-TC12-R</t>
  </si>
  <si>
    <t>An event whose only flag is on its registrations can still be confirmed once its safety check is approved, and the flag stays</t>
  </si>
  <si>
    <t>Rewritten: the story's SPM-68-TC12 is out of date (SPM-86, SPM-87, SPM-88).
Run npm run fixtures:spm68 before and after this case. 'SPM68 Ready To Confirm' is in Planning, assigned to Daniel Tan, 20 Oct 2027, 09:00-17:00, with one approved, unflagged booking at SPM68 Annex, no equipment, and registration set up (capacity 30). Its registrations (8 registered) are flagged because the date or time changed. Logged in as Daniel Tan.</t>
  </si>
  <si>
    <t>Sprint 3 regression: scope</t>
  </si>
  <si>
    <t>Event: SPM68 Ready To Confirm (Planning) | Registrations: 8 registered, 0 on the waiting list (flagged: the date or time changed)</t>
  </si>
  <si>
    <t>SPM-43-TC06</t>
  </si>
  <si>
    <t>SPM-87-TC04</t>
  </si>
  <si>
    <t>1. Click 'Flagged Arrangements' in the sidebar, then the 'Registrations' tab
2. Click 'Open Overview' in the 'SPM68 Ready To Confirm' item
3. Click the 'Readiness' tab
4. Click the 'Overview' tab
5. Click 'Submit for safety check'
6. Click 'Submit' in the dialog
7. Log out, then log in as hana.yusof@connectsphere.com / password123
8. Click 'Safety Checks' in the sidebar and open 'SPM68 Ready To Confirm'
9. Click 'Record safety decision', choose 'Approve' and click 'Record decision'
10. Log out, then log in as daniel.tan@connectsphere.com / password123
11. Click 'All Events' in the sidebar and open 'SPM68 Ready To Confirm'
12. Click 'Confirm event'
13. Click 'Confirm event' in the dialog
14. Click 'Flagged Arrangements' in the sidebar, then the 'Registrations' tab</t>
  </si>
  <si>
    <t>After approval the assigned Coordinator sees the decision and can go on to confirm the event</t>
  </si>
  <si>
    <t>Prepared 2026-10-17 against main at 135213b, after the last Sprint 3 merge (SPM-65). Recheck if anything else merges before the run.</t>
  </si>
  <si>
    <t>Step 1: The 'SPM68 Ready To Confirm' item shows '8 registered, 0 on the waiting list' and 'Flagged because: the date or time changed', with 'Mark as reviewed' and 'Open Overview'.
Step 3: '1 arrangement still blocks confirmation' is shown. 'SPM68 Annex' and 'Registration setup' are 'Complete': the flagged registrations do not block. The one blocker is 'Operational Safety Check' (Not submitted).
Step 5: A dialog 'Submit for safety check?' reads 'SPM68 Ready To Confirm will move to Safety review and the Safety Officer will be notified. Anything still outstanding or flagged for review will be listed instead.'
Step 6: 'The event has been submitted for a safety check. The Safety Officer has been notified.' is shown and the status badge reads 'Safety review'.
Step 9: 'Safety check approved. The coordinator has been notified.' is shown and the status badge reads 'Safety approved'.
Step 11: The status badge reads 'Safety approved' and the 'Confirm event' button is shown.
Step 12: A dialog 'Confirm this event?' reads 'SPM68 Ready To Confirm will be marked Confirmed, and the organiser will be able to see the venue and equipment arranged for it. Anything still outstanding will be listed instead.'
Step 13: 'The event is confirmed. The organiser can now see the arrangements.' is shown and the status badge reads 'Confirmed'.
Step 14: The 'SPM68 Ready To Confirm' item is still listed: confirming did not clear the flag.</t>
  </si>
  <si>
    <t>A request for an event that has since been cancelled cannot be approved</t>
  </si>
  <si>
    <t>Run straight after SPM-87-TC03 - do not reset the fixtures in between.
SPM-87-TC03 has just been run (so 'SPM87 Waterfront Gala' is Safety approved) and the fixtures have NOT been reset since.</t>
  </si>
  <si>
    <t>SPM-68-TC13</t>
  </si>
  <si>
    <t>A replacement venue is searched for from the flagged booking with the search pre-filled, and requesting it adds a pending request while the flagged booking, the event's information and its status stay unchanged</t>
  </si>
  <si>
    <t>Coordinator: daniel.tan@connectsphere.com
Event: SPM87 Waterfront Gala (Safety approved)</t>
  </si>
  <si>
    <t>AC11, AC12, AC13, AC14</t>
  </si>
  <si>
    <t>1. Click 'Log out' in the top bar
2. Log in as daniel.tan@connectsphere.com with password123
3. Click 'All Events' in the sidebar
4. Click 'SPM87 Waterfront Gala' in the list</t>
  </si>
  <si>
    <t>Run before SPM-68-TC14-R, which continues from this case.
Run npm run fixtures:spm68 before this case. Go straight on to SPM-68-TC14, which needs the request this case makes, and reset after that one; to stop here instead, run npm run fixtures:spm68 again now. 'SPM68 Outgrown Room' is in Planning, assigned to Daniel Tan, on 8 Oct 2027, 09:00-17:00, for 150 people in Theatre layout, and requires 'Fixed ceiling projector' and 'Step-free access'. Its approved booking at SPM68 Hall (8 Oct 2027, 09:00-17:00, Theatre, seats 100) is flagged. SPM68 Spare Room seats 200 in Theatre layout, has both required features and is free that day. Logged in as Daniel Tan.</t>
  </si>
  <si>
    <t>Changes counted since</t>
  </si>
  <si>
    <t>Event: SPM68 Outgrown Room (Planning), 8 Oct 2027, 09:00-17:00, 150 people, Theatre; requires Fixed ceiling projector and Step-free access
Flagged booking: SPM68 Hall (Approved), 8 Oct 2027, 09:00-17:00, Theatre
Replacement: SPM68 Spare Room (Theatre seats 200), 8 Oct 2027, 09:00-17:00</t>
  </si>
  <si>
    <t>Step 3: 'SPM87 Waterfront Gala' is listed with the status 'Safety approved'.
Step 4: The event shows the status 'Safety approved', the 'Safety check' row 'Approved · decided by Hana Yusof, &lt;date and time of TC03 step 5&gt;', and a 'Confirm event' button - the event is back with the Coordinator to proceed. There is no 'Submit for safety check' button.</t>
  </si>
  <si>
    <t>1. Click 'Flagged Arrangements' in the sidebar
2. Click 'Find a replacement venue' in the 'SPM68 Outgrown Room' item
3. Click 'Request booking' on the 'SPM68 Spare Room (SPM68-SPR)' result
4. Click 'Submit request'
5. Click 'Back to Venue'
6. Click the 'Overview' tab
7. Click 'Flagged Arrangements' in the sidebar</t>
  </si>
  <si>
    <t>In scope?</t>
  </si>
  <si>
    <t>Reason</t>
  </si>
  <si>
    <t>SPM-43-TC07</t>
  </si>
  <si>
    <t>Tester</t>
  </si>
  <si>
    <t>Step 2: The 'Find a venue' page opens, saying 'Filled in from the flagged booking at SPM68 Hall. Change any filter and search again.' 'From' reads 8 Oct 2027, 09:00 and 'To' reads 8 Oct 2027, 17:00. 'Expected attendance' reads 150. 'Room layout' reads 'Theatre'. 'Step-free access' is ticked under 'Accessibility requirements' and 'Fixed ceiling projector' is ticked under 'Required facilities'; nothing else is ticked. The results include 'SPM68 Spare Room (SPM68-SPR)' with a 'Request booking' button, and do not include SPM68 Hall.
Step 3: The 'Request a venue booking' page opens for SPM68 Spare Room, with Date 8 Oct 2027, Start time 09:00 and End time 17:00, 'What is this space for?' reading 'Main programme', 'Expected attendance for this space' reading 150 and 'Room layout' reading 'Theatre', all filled in.
Step 4: The message 'Booking request sent to Venue Staff.' is shown.
Step 5: Under 'Booking requests', SPM68 Spare Room is listed as 'Pending' and SPM68 Hall is still listed as 'Approved', both for 8 Oct 2027, 09:00–17:00.
Step 6: The status badge still reads 'Planning'. The event still shows 8 Oct 2027, 09:00–17:00, an expected attendance of 150 and Theatre layout.
Step 7: The 'SPM68 Outgrown Room' item for SPM68 Hall is still listed on the 'Venue bookings' tab, still flagged, with 'Suitability: Not suitable', 'This booking can't be kept while it doesn't meet the event's requirements.' and the buttons 'Find a replacement venue' and 'Open Venue tab'. It has no 'Keep booking' button: requesting a replacement does not make the room big enough.</t>
  </si>
  <si>
    <t>SPM-87-TC05</t>
  </si>
  <si>
    <t>The Event Organiser sees that their event is Safety approved but not the safety details</t>
  </si>
  <si>
    <t>SPM-21</t>
  </si>
  <si>
    <t>SPM-68-TC14-R</t>
  </si>
  <si>
    <t>Rejecting without a reason, or with only spaces, is refused</t>
  </si>
  <si>
    <t>User Login</t>
  </si>
  <si>
    <t>The flagged booking is released from the event's Venue tab; it stays on the record as Released, and the replacement request and the event are unchanged</t>
  </si>
  <si>
    <t>AC12, AC13, AC14</t>
  </si>
  <si>
    <t>Start of Sprint 3 (a5730c5)</t>
  </si>
  <si>
    <t>Yes</t>
  </si>
  <si>
    <t>Run straight after SPM-87-TC03 - do not reset the fixtures in between.
SPM-87-TC04 has just been run (so 'SPM87 Waterfront Gala' is Safety approved) and the fixtures have NOT been reset since. Rachel Ng (rachel.ng@meridianfina.com / password123) raised the event. Run npm run fixtures:spm87 after this case.</t>
  </si>
  <si>
    <t>Changed on main: src/app/dashboard/page.tsx
Shared files changed: src/lib/permissions.ts, src/lib/roles.ts</t>
  </si>
  <si>
    <t>Rewritten: the story's SPM-68-TC14 is out of date (SPM-88).
Run straight after SPM-68-TC13 - do not reset the fixtures in between.
SPM-68-TC13 has just been run ('SPM68 Outgrown Room' has a Pending request for SPM68 Spare Room, and its flagged booking at SPM68 Hall is still Approved). Run npm run fixtures:spm68 after this case. Logged in as Daniel Tan.</t>
  </si>
  <si>
    <t>Event: SPM68 Outgrown Room (Planning), 8 Oct 2027, 09:00-17:00, 150 people, Theatre | Reason: Room is too small for 150 people.</t>
  </si>
  <si>
    <t>Organiser: rachel.ng@meridianfina.com
Event: SPM87 Waterfront Gala (Safety approved)</t>
  </si>
  <si>
    <t>1. Click 'Flagged Arrangements' in the sidebar
2. Click 'Open Venue tab' in the 'SPM68 Outgrown Room' item
3. Click 'Release booking' on the 'SPM68 Hall (SPM68-HAL)' row
4. Type the reason in 'Reason (optional)'
5. Click 'Release booking' in the dialog
6. Click the 'Overview' tab
7. Click the 'Readiness' tab
8. Click 'Flagged Arrangements' in the sidebar</t>
  </si>
  <si>
    <t>SPM-22</t>
  </si>
  <si>
    <t>1. Click 'Log out' in the top bar
2. Log in as rachel.ng@meridianfina.com with password123
3. Click 'My Events' in the sidebar
4. Click 'SPM87 Waterfront Gala' in the list</t>
  </si>
  <si>
    <t>Role-Based Access - UI Verification</t>
  </si>
  <si>
    <t>Step 2: The Dashboard lists 'SPM87 Waterfront Gala' under a 'Safety approved' heading.
Step 3: 'SPM87 Waterfront Gala' is listed with the status 'Safety approved'.
Step 4: The event shows the status 'Safety approved'. There is no 'Safety check' row and no decision details - those are for internal staff only.</t>
  </si>
  <si>
    <t>Step 1: The 'SPM68 Outgrown Room' item for SPM68 Hall has 'Find a replacement venue' and 'Open Venue tab', and no 'Keep booking' button.
Step 2: Under 'Booking requests', SPM68 Hall is 'Approved' with 'Release booking', and SPM68 Spare Room is 'Pending'.
Step 5: 'Booking released' reads 'SPM68 Hall (SPM68-HAL) on 8 Oct 2027, 09:00–17:00 is now Released. Venue Staff have been notified. You can request another venue below.' SPM68 Hall shows '8 Oct 2027, 09:00–17:00 · Theatre', 'Released' and 'Reason for release: Room is too small for 150 people.' SPM68 Spare Room still shows 'Main programme · 8 Oct 2027, 09:00–17:00 · Theatre · 150 attendees', a 'Hold expires' line and 'Pending'.
Step 6: The status badge still reads 'Planning', with 8 Oct 2027, 09:00–17:00, 150 expected and Theatre layout.
Step 7: '2 arrangements still block confirmation' is shown. SPM68 Hall is not listed. 'SPM68 Spare Room' (Space: Main programme · Booking status: Pending) is 'Outstanding': 'SPM68 Spare Room (Main programme) for this event is still awaiting a decision from Venue Staff.' 'Operational Safety Check' is 'Outstanding' (Not submitted).
Step 8: On the 'Venue bookings' tab there is no longer an item for 'SPM68 Outgrown Room'.</t>
  </si>
  <si>
    <t>Changed on main: src/app/events/[id]/page.tsx, src/app/notifications/page.tsx, src/app/venues/page.tsx, src/components/AppShell.tsx
Shared files changed: src/lib/eventTabs.ts, src/lib/permissions.ts, src/lib/roles.ts</t>
  </si>
  <si>
    <t>-</t>
  </si>
  <si>
    <t>SPM-43-TC08</t>
  </si>
  <si>
    <t>SPM-23</t>
  </si>
  <si>
    <t>Create Event Request</t>
  </si>
  <si>
    <t>SPM-87-TC06</t>
  </si>
  <si>
    <t>Requesting changes returns the event to Planning with the changes required recorded for the Coordinator</t>
  </si>
  <si>
    <t>AC5, AC8, AC10</t>
  </si>
  <si>
    <t>Changed on main: src/app/api/events/[id]/route.ts, src/app/api/events/route.ts, src/app/events/page.tsx, src/lib/validation/events.ts
Shared files changed: prisma/schema.prisma, prisma/seed.ts</t>
  </si>
  <si>
    <t>npm run fixtures:spm87 has been run. 'SPM87 Lakeside Conference' is in Safety review, assigned to Daniel Tan. Logged in as Hana Yusof (hana.yusof@connectsphere.com / password123). Note the date and time of step 6. This case changes the event - run npm run fixtures:spm87 afterwards.</t>
  </si>
  <si>
    <t>SPM-24</t>
  </si>
  <si>
    <t>Event: SPM87 Lakeside Conference (Safety review)
Decision: Request changes
Changes required: Add a second fire marshal at the east exit.</t>
  </si>
  <si>
    <t>Save Draft Event Request</t>
  </si>
  <si>
    <t>1. Click 'Safety Checks' in the sidebar
2. Click 'SPM87 Lakeside Conference' in the list
3. Click 'Record safety decision'
4. Choose 'Request changes'
5. Type 'Add a second fire marshal at the east exit.' in 'Changes required'
6. Click 'Record decision'
7. Click 'Log out' in the top bar
8. Log in as daniel.tan@connectsphere.com with password123
9. Click 'All Events' in the sidebar
10. Click 'SPM87 Lakeside Conference' in the list</t>
  </si>
  <si>
    <t>Yes - replaced by SPM-43-TC08-R on Sammi's sheet</t>
  </si>
  <si>
    <t>Changed on main: src/app/api/events/[id]/route.ts, src/app/api/events/route.ts, src/app/events/page.tsx
Shared files changed: prisma/seed.ts, src/lib/statuses.ts</t>
  </si>
  <si>
    <t>Step 4: A box labelled 'Changes required' appears.
Step 6: The message 'Changes requested. The event is back in Planning and the coordinator has been notified.' is shown, and the status badge changes to 'Planning'.
Step 10: Daniel sees the status 'Planning' and the 'Safety check' row 'Changes requested · decided by Hana Yusof, &lt;date and time of step 6&gt;. Changes required: Add a second fire marshal at the east exit.'</t>
  </si>
  <si>
    <t>SPM-43-TC09</t>
  </si>
  <si>
    <t>SPM-25</t>
  </si>
  <si>
    <t>Submit Event Request</t>
  </si>
  <si>
    <t>SPM-87-TC07</t>
  </si>
  <si>
    <t>Venue Staff suggest another venue when rejecting; the Coordinator sees it and can start a new request for that venue</t>
  </si>
  <si>
    <t>Changed on main: src/app/api/events/[id]/route.ts, src/app/events/page.tsx, src/lib/validation/events.ts
Shared files changed: src/lib/permissions.ts, src/lib/roles.ts, src/lib/statuses.ts</t>
  </si>
  <si>
    <t>Rejecting the safety arrangement returns the event to Planning with the reason recorded for the Coordinator</t>
  </si>
  <si>
    <t>AC4, AC8, AC10</t>
  </si>
  <si>
    <t>SPM-27</t>
  </si>
  <si>
    <t>View Event Status</t>
  </si>
  <si>
    <t>npm run fixtures:spm87 has been run. 'SPM87 Rooftop Launch Party' is in Safety review, assigned to Daniel Tan. Logged in as Hana Yusof (hana.yusof@connectsphere.com / password123). Note the date and time of step 6. This case changes the event - run npm run fixtures:spm87 afterwards.</t>
  </si>
  <si>
    <t>Event: SPM87 Rooftop Launch Party (Safety review)
Decision: Reject
Reason: A single stairway cannot evacuate 300 people from the rooftop.</t>
  </si>
  <si>
    <t>Yes - replaced by SPM-43-TC09-R on Sammi's sheet</t>
  </si>
  <si>
    <t>Changed on main: src/app/api/events/[id]/route.ts, src/app/events/[id]/equipment/page.tsx, src/app/events/[id]/page.tsx, src/app/events/page.tsx, src/app/venues/search/page.tsx, src/lib/validation/events.ts
Shared files changed: prisma/seed.ts, src/lib/permissions.ts, src/lib/statuses.ts</t>
  </si>
  <si>
    <t>1. Click 'Safety Checks' in the sidebar
2. Click 'SPM87 Rooftop Launch Party' in the list
3. Click 'Record safety decision'
4. Choose 'Reject'
5. Type 'A single stairway cannot evacuate 300 people from the rooftop.' in 'Reason for rejecting'
6. Click 'Record decision'
7. Click 'Log out' in the top bar
8. Log in as daniel.tan@connectsphere.com with password123
9. Click 'All Events' in the sidebar
10. Click 'SPM87 Rooftop Launch Party' in the list</t>
  </si>
  <si>
    <t>SPM-28</t>
  </si>
  <si>
    <t>Review Event Request</t>
  </si>
  <si>
    <t>Step 4: A box labelled 'Reason for rejecting' appears.
Step 6: The message 'Safety arrangement rejected. The event is back in Planning and the coordinator has been notified.' is shown, and the status badge changes to 'Planning'.
Step 10: Daniel sees the status 'Planning' and the 'Safety check' row 'Rejected · decided by Hana Yusof, &lt;date and time of step 6&gt;. Reason: A single stairway cannot evacuate 300 people from the rooftop.'</t>
  </si>
  <si>
    <t>SPM-43-TC10</t>
  </si>
  <si>
    <t>Changed on main: src/app/api/events/[id]/route.ts, src/app/events/[id]/page.tsx
Shared files changed: prisma/schema.prisma, prisma/seed.ts, src/lib/permissions.ts, src/lib/statuses.ts</t>
  </si>
  <si>
    <t>Venue Staff suggest an alternative arrangement in words, without naming a venue</t>
  </si>
  <si>
    <t>Assign Event Coordinator</t>
  </si>
  <si>
    <t>SPM-87-TC12</t>
  </si>
  <si>
    <t>[BLOCKED by SPM-71] The assigned Coordinator is notified of the decision with the changes required</t>
  </si>
  <si>
    <t>Changed on main: src/app/api/events/[id]/route.ts, src/app/dashboard/page.tsx, src/app/events/[id]/page.tsx, src/app/events/page.tsx
Shared files changed: prisma/schema.prisma, prisma/seed.ts, src/lib/permissions.ts, src/lib/roles.ts</t>
  </si>
  <si>
    <t>SPM-31</t>
  </si>
  <si>
    <t>BLOCKED - record Result = Blocked until SPM-71 (View Notifications) is merged: the Notifications screen is not built yet. When unblocked: npm run fixtures:spm87 has been run; 'SPM87 Lakeside Conference' is in Safety review, assigned to Daniel Tan. Logged in as Hana Yusof (hana.yusof@connectsphere.com / password123). This case changes the event - run npm run fixtures:spm87 afterwards.</t>
  </si>
  <si>
    <t>SPM-43-TC12</t>
  </si>
  <si>
    <t>View Event Information</t>
  </si>
  <si>
    <t>Event: SPM87 Lakeside Conference
Coordinator: daniel.tan@connectsphere.com</t>
  </si>
  <si>
    <t>A request is decided once: approving one that was already rejected from another tab is refused</t>
  </si>
  <si>
    <t>1. Click 'Safety Checks' in the sidebar
2. Click 'SPM87 Lakeside Conference' in the list
3. Click 'Record safety decision', choose 'Request changes', type 'Add a second fire marshal at the east exit.' in 'Changes required' and click 'Record decision'
4. Click 'Log out' in the top bar
5. Log in as daniel.tan@connectsphere.com with password123
6. Click 'Notifications' in the sidebar</t>
  </si>
  <si>
    <t>Changed on main: src/app/api/events/[id]/equipment/[requestId]/route.ts, src/app/api/events/[id]/equipment/route.ts, src/app/api/events/[id]/route.ts, src/app/dashboard/page.tsx, src/app/events/[id]/page.tsx
Shared files changed: prisma/schema.prisma, prisma/seed.ts, src/lib/eventTabs.ts, src/lib/format.ts, src/lib/permissions.ts, src/lib/roles.ts, src/lib/statuses.ts</t>
  </si>
  <si>
    <t>Step 3: The message 'Changes requested. The event is back in Planning and the coordinator has been notified.' is shown.
Step 6: The Notifications list has a new notification titled 'Safety check: changes requested' for 'SPM87 Lakeside Conference', which includes 'Add a second fire marshal at the east exit.'</t>
  </si>
  <si>
    <t>Track Outstanding Arrangements</t>
  </si>
  <si>
    <t>Story merged 2026-10-12 (15e80e3)</t>
  </si>
  <si>
    <t>SPM-43-TC13</t>
  </si>
  <si>
    <t>Changed by later Sprint 3 merges: src/app/api/events/[id]/arrangements/route.ts, src/app/api/events/[id]/route.ts, src/app/api/events/[id]/safety-check/route.ts, src/app/events/[id]/readiness/page.tsx, src/lib/eventArrangements.ts, src/lib/eventConfirmation.ts, src/lib/safetyCheck.ts, src/lib/validation/events.ts
Shared files changed: prisma/schema.prisma, prisma/seed.ts, src/lib/eventTabs.ts, src/lib/permissions.ts, src/lib/statuses.ts</t>
  </si>
  <si>
    <t>SPM-88  Resolve Safety Check Outcome  -  run npm run fixtures:spm88 before its first case</t>
  </si>
  <si>
    <t>A request for a time when the venue is unavailable (maintenance) cannot be approved</t>
  </si>
  <si>
    <t>Confirm Event</t>
  </si>
  <si>
    <t>Changed on main: src/app/api/events/[id]/route.ts, src/app/events/[id]/page.tsx, src/lib/eventConfirmation.ts
Shared files changed: prisma/seed.ts, src/lib/permissions.ts, src/lib/statuses.ts</t>
  </si>
  <si>
    <t>SPM-43-TC14</t>
  </si>
  <si>
    <t>SPM-39</t>
  </si>
  <si>
    <t>A request for a venue that has been retired cannot be approved</t>
  </si>
  <si>
    <t>Manage Venue Catalogue</t>
  </si>
  <si>
    <t>SPM-88-TC03</t>
  </si>
  <si>
    <t>The Coordinator flags the arrangements a returned safety check affects, and nothing is cancelled or changed</t>
  </si>
  <si>
    <t>Changed on main: src/app/api/venues/[id]/route.ts, src/app/venues/[id]/edit/page.tsx, src/app/venues/page.tsx, src/components/VenueForm.tsx, src/lib/validation/venues.ts, src/lib/venueForm.ts, src/lib/venueImpact.ts
Shared files changed: prisma/schema.prisma, src/lib/permissions.ts</t>
  </si>
  <si>
    <t>SPM-43-TC15</t>
  </si>
  <si>
    <t>npm run fixtures:spm88 has been run. 'SPM88 Harbour Returned Forum' (latest safety check: changes requested) has an approved venue booking at SPM88 Harbour Studio and a Reserved Handheld Wireless Mic, neither flagged. Logged in as Daniel Tan (daniel.tan@connectsphere.com / password123). This case changes the event - SPM-88-TC04 continues from it, so go straight to TC04 and run npm run fixtures:spm88 after TC04.</t>
  </si>
  <si>
    <t>Event: SPM88 Harbour Returned Forum
Arrangements: SPM88 Harbour Studio booking (Approved), Handheld Wireless Mic (Reserved)</t>
  </si>
  <si>
    <t>A request for an event that has not been approved yet is not shown to Venue Staff</t>
  </si>
  <si>
    <t>1. Click 'All Events' in the sidebar
2. Click 'SPM88 Harbour Returned Forum' in the list
3. Click 'Flag arrangements for review'
4. Tick 'Venue: SPM88 Harbour Studio' and 'Equipment: Handheld Wireless Mic'
5. Click 'Flag for review'
6. Click the 'Readiness' tab</t>
  </si>
  <si>
    <t>Search and Filter Suitable Venues</t>
  </si>
  <si>
    <t>Step 3: A dialog headed 'Flag arrangements for review' lists the event's venue bookings and equipment, each with a tick box.
Step 5: The message '2 arrangements flagged for review. Nothing has been changed or cancelled.' is shown.
Step 6: Both rows are 'Outstanding' and say they were flagged because 'the Safety Officer returned the safety check'. The booking's status is still 'Approved' and the mic's is still 'Reserved'.</t>
  </si>
  <si>
    <t>Changed on main: src/app/api/events/[id]/route.ts, src/app/api/venues/search/route.ts, src/app/events/[id]/venue/page.tsx, src/app/venues/page.tsx, src/app/venues/search/page.tsx, src/lib/validation/venues.ts, src/lib/venueSearch.ts, src/lib/venueSearchForm.ts, src/lib/venueSlots.ts, src/lib/venueSuitability.ts
Shared files changed: prisma/schema.prisma, prisma/seed.ts, src/lib/permissions.ts</t>
  </si>
  <si>
    <t>SPM-41</t>
  </si>
  <si>
    <t>SPM-88-TC04</t>
  </si>
  <si>
    <t>Check Venue Suitability</t>
  </si>
  <si>
    <t>After reviewing the flagged arrangements the Coordinator submits the event for a safety check again</t>
  </si>
  <si>
    <t>SPM-43-TC16</t>
  </si>
  <si>
    <t>Changed on main: src/app/venues/page.tsx, src/components/VenueForm.tsx, src/lib/venueImpact.ts
Shared files changed: prisma/schema.prisma, prisma/seed.ts</t>
  </si>
  <si>
    <t>SPM-88-TC03 has just been run (the booking and the mic of 'SPM88 Harbour Returned Forum' are flagged) and the fixtures have NOT been reset since. Still logged in as Daniel Tan. Run npm run fixtures:spm88 after this case.</t>
  </si>
  <si>
    <t>Event: SPM88 Harbour Returned Forum (Planning, booking and mic flagged)</t>
  </si>
  <si>
    <t>A request in the first slot clear of an approved booking's turnaround is not in conflict and can be approved</t>
  </si>
  <si>
    <t>1. Click the 'Overview' tab
2. Click 'Submit for safety check' and then 'Submit' in the dialog
3. Click 'Flagged Arrangements' in the sidebar
4. Click 'Keep booking' on the SPM88 Harbour Studio booking for 'SPM88 Harbour Returned Forum'
5. Click 'Keep reservation' on the Handheld Wireless Mic for 'SPM88 Harbour Returned Forum'
6. Click 'All Events' in the sidebar
7. Click 'SPM88 Harbour Returned Forum' in the list
8. Click 'Submit for safety check' and then 'Submit' in the dialog</t>
  </si>
  <si>
    <t>Request Venue Booking</t>
  </si>
  <si>
    <t>Step 2: Submission is refused, naming the flagged SPM88 Harbour Studio booking and Handheld Wireless Mic - flagged arrangements are reviewed before the event is checked again.
Step 5: Both are no longer listed as flagged.
Step 8: 'The event has been submitted for a safety check. The Safety Officer has been notified.' is shown, the status becomes 'Safety review', and the 'Safety check history' card now lists three submissions, the newest 'Awaiting review'.</t>
  </si>
  <si>
    <t>SPM-44-TC01</t>
  </si>
  <si>
    <t>Changed on main: src/app/events/[id]/venue/page.tsx, src/lib/venueBookingRequest.ts, src/lib/venueSearch.ts, src/lib/venueSlots.ts, src/lib/venueSuitability.ts
Shared files changed: prisma/schema.prisma, prisma/seed.ts, src/lib/permissions.ts</t>
  </si>
  <si>
    <t>SPM-44</t>
  </si>
  <si>
    <t>A slot already held by an approved booking is refused, and the booking is named</t>
  </si>
  <si>
    <t>SPM-88-TC06</t>
  </si>
  <si>
    <t>When the Safety Officer rejects the safety arrangement the event returns to Planning and the Coordinator sees why</t>
  </si>
  <si>
    <t>Review Venue Booking Request</t>
  </si>
  <si>
    <t>SPM-44-TC02</t>
  </si>
  <si>
    <t>npm run fixtures:spm88 has been run. 'SPM88 Riverside Review' is in Safety review, assigned to Daniel Tan. Logged in as Safety Officer Hana Yusof (hana.yusof@connectsphere.com / password123). This case changes the event - run npm run fixtures:spm88 afterwards.</t>
  </si>
  <si>
    <t>A different slot on the same day at the same venue is allowed</t>
  </si>
  <si>
    <t>Event: SPM88 Riverside Review (Safety review)
Reason: The river terrace has no barrier for 200 people.</t>
  </si>
  <si>
    <t>Changed on main: src/app/api/events/[id]/venue-bookings/route.ts, src/app/api/venue-bookings/[id]/route.ts, src/app/api/venue-bookings/route.ts, src/app/bookings/page.tsx, src/app/events/[id]/booking/new/page.tsx, src/app/events/[id]/venue/page.tsx, src/app/venues/[id]/availability/page.tsx, src/app/venues/page.tsx, src/lib/validation/venues.ts, src/lib/venueBookingRequest.ts, src/lib/venueBookingReview.ts, src/lib/venueSlots.ts
Shared files changed: prisma/schema.prisma, prisma/seed.ts, src/lib/permissions.ts, src/lib/roles.ts</t>
  </si>
  <si>
    <t>1. Click 'Safety Checks' in the sidebar
2. Click 'SPM88 Riverside Review' in the list
3. Click 'Record safety decision', choose 'Reject', type 'The river terrace has no barrier for 200 people.' in 'Reason for rejecting' and click 'Record decision'
4. Click 'Log out' in the top bar
5. Log in as daniel.tan@connectsphere.com with password123
6. Click 'All Events' in the sidebar
7. Click 'SPM88 Riverside Review' in the list</t>
  </si>
  <si>
    <t>Step 3: 'Safety arrangement rejected. The event is back in Planning and the coordinator has been notified.' is shown and the status becomes 'Planning'.
Step 6: 'SPM88 Riverside Review' is listed with the status 'Planning'.
Step 7: The 'Safety check' row reads 'Rejected · decided by Hana Yusof, &lt;today's date and time&gt;. Reason: The river terrace has no barrier for 200 people.', and a 'Flag arrangements for review' button is offered.</t>
  </si>
  <si>
    <t>Yes - replaced by SPM-44-TC02-R on Sammi's sheet</t>
  </si>
  <si>
    <t>SPM-44-TC03</t>
  </si>
  <si>
    <t>Detect Venue Booking Conflicts</t>
  </si>
  <si>
    <t>2, 3</t>
  </si>
  <si>
    <t>The same event cannot request the same venue and slot twice</t>
  </si>
  <si>
    <t>Story merged 2026-10-08 (d15ee12)</t>
  </si>
  <si>
    <t>Changed by later Sprint 3 merges: src/app/api/events/[id]/venue-bookings/route.ts, src/app/events/[id]/booking/new/page.tsx, src/app/events/[id]/venue/page.tsx, src/lib/venueBookingRequest.ts, src/lib/venueConflict.ts, src/lib/venueSearch.ts, src/lib/venueSlots.ts
Shared files changed: prisma/seed.ts</t>
  </si>
  <si>
    <t>SPM-88-TC07</t>
  </si>
  <si>
    <t>SPM-44-TC04</t>
  </si>
  <si>
    <t>A significant change to a Safety approved event removes the approval and returns it to Planning</t>
  </si>
  <si>
    <t>SPM-45</t>
  </si>
  <si>
    <t>A slot already held by another event's pending request is refused</t>
  </si>
  <si>
    <t>Record Venue Unavailability</t>
  </si>
  <si>
    <t>Story merged 2026-10-10 (ed920fa)</t>
  </si>
  <si>
    <t>Run before SPM-88-TC08, which continues from this case.
npm run fixtures:spm88 has been run. 'SPM88 Approved Gala' is Safety approved (approved by Hana Yusof), expected attendance 60, assigned to Daniel Tan. Logged in as Daniel Tan (daniel.tan@connectsphere.com / password123). This case changes the event - SPM-88-TC08 continues from it, so go straight to TC08 and run npm run fixtures:spm88 after TC08.</t>
  </si>
  <si>
    <t>Event: SPM88 Approved Gala (Safety approved)
Expected attendance: 60 -&gt; 80 (a significant change)</t>
  </si>
  <si>
    <t>Changed by later Sprint 3 merges: src/app/venues/page.tsx, src/lib/validation/venues.ts
Shared files changed: prisma/schema.prisma, prisma/seed.ts, src/lib/roles.ts</t>
  </si>
  <si>
    <t>SPM-44-TC05</t>
  </si>
  <si>
    <t>1. Click 'All Events' in the sidebar
2. Click 'SPM88 Approved Gala' in the list
3. Click 'Edit event information'
4. Change 'Expected attendance' from 60 to 80
5. Click 'Save changes'
6. Click 'Save and move to Planning' in the dialog
7. Click 'Back to event'
8. Click the 'Readiness' tab</t>
  </si>
  <si>
    <t>A rejected booking does not hold the slot</t>
  </si>
  <si>
    <t>Step 5: A dialog headed 'Move this event back to Planning?' says SPM88 Approved Gala is Safety approved and that saving cancels the approval, moves it back to Planning, and it will need to be submitted for a safety check again.
Step 6: 'Event information updated. The event is back in Planning and needs to be submitted for a safety check again.' is shown.
Step 7: The status is 'Planning' and the 'Safety check' row reads 'Closed after a change on &lt;today's date and time&gt;: the expected attendance changed'.
Step 8: The Operational Safety Check row is 'Outstanding' and shows 'Not submitted'.</t>
  </si>
  <si>
    <t>SPM-46</t>
  </si>
  <si>
    <t>Yes - replaced by SPM-44-TC05-R on Sammi's sheet</t>
  </si>
  <si>
    <t>View Venue Availability</t>
  </si>
  <si>
    <t>SPM-44-TC06</t>
  </si>
  <si>
    <t>SPM-88-TC08</t>
  </si>
  <si>
    <t>A cancelled (withdrawn or released) booking does not hold the slot</t>
  </si>
  <si>
    <t>An event whose safety approval no longer applies cannot be confirmed, and the safety check is named</t>
  </si>
  <si>
    <t>Changed on main: src/app/api/venues/[id]/availability/route.ts, src/app/venues/[id]/edit/page.tsx, src/app/venues/page.tsx, src/lib/validation/venues.ts, src/lib/venueAvailability.ts, src/lib/venueSlots.ts
Shared files changed: src/lib/format.ts, src/lib/permissions.ts</t>
  </si>
  <si>
    <t>Run straight after SPM-88-TC07 - do not reset the fixtures in between.
SPM-88-TC07 has just been run ('SPM88 Approved Gala' is back in Planning with its approval closed) and the fixtures have NOT been reset since. Still logged in as Daniel Tan. Run npm run fixtures:spm88 after this case.</t>
  </si>
  <si>
    <t>SPM-44-TC07</t>
  </si>
  <si>
    <t>Record Equipment Requirements</t>
  </si>
  <si>
    <t>Event: SPM88 Approved Gala (Planning, approval closed)</t>
  </si>
  <si>
    <t>A different slot IS refused when the other booking's setup occupies it</t>
  </si>
  <si>
    <t>1. Click the 'Overview' tab
2. Click 'Confirm event'
3. Click 'Confirm event' in the dialog</t>
  </si>
  <si>
    <t>Step 3: The event is NOT confirmed. The message names 'the Operational Safety Check has to be submitted again' among what is outstanding, and the status stays 'Planning'.</t>
  </si>
  <si>
    <t>Changed on main: src/app/api/events/[id]/equipment/[requestId]/route.ts, src/app/api/events/[id]/equipment/route.ts, src/app/api/events/[id]/route.ts, src/app/events/[id]/equipment/page.tsx, src/app/events/[id]/page.tsx, src/lib/validation/equipment.ts
Shared files changed: prisma/schema.prisma, src/lib/eventTabs.ts, src/lib/permissions.ts, src/lib/roles.ts</t>
  </si>
  <si>
    <t>SPM-48</t>
  </si>
  <si>
    <t>SPM-44-TC08</t>
  </si>
  <si>
    <t>Check Equipment Availability</t>
  </si>
  <si>
    <t>SPM-88-TC09</t>
  </si>
  <si>
    <t>A recorded unavailable period blocks a request, and its reason and dates are shown</t>
  </si>
  <si>
    <t>An ordinary edit keeps the safety approval, and the Safety approved event confirms as before</t>
  </si>
  <si>
    <t>AC7, AC9</t>
  </si>
  <si>
    <t>Changed on main: src/app/api/equipment/[id]/out-of-service/route.ts, src/app/api/equipment/route.ts, src/app/events/[id]/equipment/page.tsx, src/lib/validation/equipment.ts
Shared files changed: prisma/schema.prisma</t>
  </si>
  <si>
    <t>npm run fixtures:spm88 has been run. 'SPM88 Approved Seminar' is Safety approved, with its venue booking approved and its mic Reserved. Logged in as Daniel Tan (daniel.tan@connectsphere.com / password123). This case changes the event - run npm run fixtures:spm88 afterwards.</t>
  </si>
  <si>
    <t>SPM-44-TC09</t>
  </si>
  <si>
    <t>Event: SPM88 Approved Seminar (Safety approved)
Description: Evening networking session after the seminar. (an ordinary edit)</t>
  </si>
  <si>
    <t>SPM-49</t>
  </si>
  <si>
    <t>The venue search screen hides a venue whose slot is taken</t>
  </si>
  <si>
    <t>1. Click 'All Events' in the sidebar
2. Click 'SPM88 Approved Seminar' in the list
3. Click 'Edit event information'
4. Change 'Description' to 'Evening networking session after the seminar.'
5. Click 'Save changes'
6. Click 'Back to event'
7. Click 'Confirm event'
8. Click 'Confirm event' in the dialog</t>
  </si>
  <si>
    <t>Reserve Equipment</t>
  </si>
  <si>
    <t>Step 5: No 'Move this event back to Planning?' dialog appears; 'Event information updated.' is shown.
Step 6: The status is still 'Safety approved' and the 'Safety check' row still reads 'Approved · decided by Hana Yusof, …'.
Step 8: 'The event is confirmed. The organiser can now see the arrangements.' is shown and the status becomes 'Confirmed'.</t>
  </si>
  <si>
    <t>Changed on main: src/app/events/[id]/equipment/page.tsx</t>
  </si>
  <si>
    <t>SPM-44-TC10</t>
  </si>
  <si>
    <t>A pending request cannot be approved over an existing confirmed booking</t>
  </si>
  <si>
    <t>SPM-50</t>
  </si>
  <si>
    <t>SPM-88-TC10</t>
  </si>
  <si>
    <t>Review and Update Equipment Request</t>
  </si>
  <si>
    <t>A significant equipment change while the event is in Safety review closes the pending check</t>
  </si>
  <si>
    <t>npm run fixtures:spm88 has been run. 'SPM88 Pending Showcase' is in Safety review with 2 Handheld Wireless Mics requested and Reserved. Logged in as Daniel Tan (daniel.tan@connectsphere.com / password123). This case changes the event - run npm run fixtures:spm88 afterwards.</t>
  </si>
  <si>
    <t>Changed on main: src/app/api/events/[id]/equipment/[requestId]/route.ts, src/app/api/events/[id]/equipment/route.ts, src/app/equipment/requests/[id]/page.tsx, src/app/events/[id]/equipment/page.tsx, src/lib/equipmentAvailability.ts, src/lib/equipmentAvailabilityService.ts, src/lib/validation/equipment.ts
Shared files changed: prisma/schema.prisma, prisma/seed.ts, src/lib/permissions.ts, src/lib/roles.ts, src/lib/statuses.ts</t>
  </si>
  <si>
    <t>SPM-44-TC11</t>
  </si>
  <si>
    <t>Event: SPM88 Pending Showcase (Safety review)
Handheld Wireless Mic: 2 -&gt; 3</t>
  </si>
  <si>
    <t>1. Click 'All Events' in the sidebar
2. Click 'SPM88 Pending Showcase' in the list
3. Click the 'Equipment' tab
4. Change the Handheld Wireless Mic quantity from 2 to 3 and save it
5. Click 'Continue' in the dialog
6. Click the 'Overview' tab
7. Click 'Log out' in the top bar
8. Log in as hana.yusof@connectsphere.com with password123
9. Click 'Safety Checks' in the sidebar</t>
  </si>
  <si>
    <t>A Night booking's turnaround blocks the NEXT morning's AM slot</t>
  </si>
  <si>
    <t>SPM-51</t>
  </si>
  <si>
    <t>Step 4: A dialog headed 'Move this event back to Planning?' says the pending safety check will be closed and the event will need to be submitted again.
Step 6: The status is 'Planning' and the 'Safety check' row reads 'Closed after a change on &lt;today's date and time&gt;: the equipment changed'.
Step 9: 'SPM88 Pending Showcase' is no longer listed - there is no check left to decide.</t>
  </si>
  <si>
    <t>Register for Event</t>
  </si>
  <si>
    <t>Story merged 2026-10-13 (928365d)</t>
  </si>
  <si>
    <t>SPM-46-TC01</t>
  </si>
  <si>
    <t>Changed by later Sprint 3 merges: src/app/api/events/[id]/route.ts, src/app/api/registrations/route.ts, src/app/events/[id]/RegisterPanel.tsx, src/app/events/[id]/page.tsx, src/app/registrations/page.tsx, src/lib/registrationEligibility.ts
Shared files changed: src/lib/permissions.ts, src/lib/statuses.ts</t>
  </si>
  <si>
    <t>Open a venue's availability and read the grid</t>
  </si>
  <si>
    <t>SPM-52</t>
  </si>
  <si>
    <t>Withdraw Registration</t>
  </si>
  <si>
    <t>Yes - replaced by SPM-46-TC01-R on Janelle's sheet</t>
  </si>
  <si>
    <t>Story merged 2026-10-17 (a92c43d)</t>
  </si>
  <si>
    <t>SPM-46-TC05</t>
  </si>
  <si>
    <t>Changed by later Sprint 3 merges: src/app/api/events/[id]/route.ts, src/app/events/[id]/page.tsx, src/lib/registrationEligibility.ts
Shared files changed: src/lib/permissions.ts, src/lib/statuses.ts</t>
  </si>
  <si>
    <t>A Night event's setup takes the whole PM slot, and its turnaround the next day's AM</t>
  </si>
  <si>
    <t>SPM-54</t>
  </si>
  <si>
    <t>Begin Event Planning</t>
  </si>
  <si>
    <t>SPM-46-TC06</t>
  </si>
  <si>
    <t>An event's setup takes the whole slot before it, on the previous day where needed</t>
  </si>
  <si>
    <t>Changed on main: src/app/api/events/[id]/equipment/[requestId]/route.ts, src/app/api/events/[id]/equipment/route.ts, src/app/api/events/[id]/route.ts, src/app/api/events/[id]/venue-bookings/route.ts, src/app/api/venues/search/route.ts, src/app/dashboard/page.tsx, src/app/events/[id]/booking/new/page.tsx, src/app/events/[id]/equipment/page.tsx, src/app/events/[id]/page.tsx, src/app/events/[id]/venue/page.tsx, src/app/events/page.tsx, src/app/venues/search/page.tsx, src/lib/beginPlanning.ts, src/lib/venueBookingRequest.ts, src/lib/venueSearchForm.ts
Shared files changed: prisma/seed.ts, src/lib/eventTabs.ts, src/lib/permissions.ts, src/lib/roles.ts, src/lib/statuses.ts</t>
  </si>
  <si>
    <t>SPM-55</t>
  </si>
  <si>
    <t>SPM-46-TC07</t>
  </si>
  <si>
    <t>Record Equipment Unavailability</t>
  </si>
  <si>
    <t>A venue's opening hours mark slots Closed, or name the hours it is open</t>
  </si>
  <si>
    <t>Story merged 2026-10-12 (d7f0003)</t>
  </si>
  <si>
    <t>Changed by later Sprint 3 merges: src/lib/equipmentAvailability.ts
Shared files changed: prisma/schema.prisma, src/lib/permissions.ts, src/lib/statuses.ts</t>
  </si>
  <si>
    <t>SPM-46-TC08</t>
  </si>
  <si>
    <t>An unavailable period covers every slot from its first day to its last, and no further</t>
  </si>
  <si>
    <t>SPM-46-TC09</t>
  </si>
  <si>
    <t>Update Event Information</t>
  </si>
  <si>
    <t>Yes - replaced by SPM-46-TC09-R on Janelle's sheet</t>
  </si>
  <si>
    <t>Story merged 2026-10-07 (e70978f)</t>
  </si>
  <si>
    <t>SPM-46-TC12</t>
  </si>
  <si>
    <t>An approved booking blocks its slots, and is listed, even while its event is still in planning</t>
  </si>
  <si>
    <t>Changed by later Sprint 3 merges: src/app/api/events/[id]/equipment/[requestId]/route.ts, src/app/api/events/[id]/equipment/route.ts, src/app/api/events/[id]/information/route.ts, src/app/events/[id]/equipment/page.tsx, src/app/events/[id]/page.tsx, src/app/events/[id]/update/page.tsx, src/lib/applyEventInformation.ts, src/lib/validation/events.ts
Shared files changed: prisma/schema.prisma, src/lib/permissions.ts</t>
  </si>
  <si>
    <t>Yes - replaced by SPM-46-TC12-R on Janelle's sheet</t>
  </si>
  <si>
    <t>SPM-46-TC13</t>
  </si>
  <si>
    <t>SPM-64</t>
  </si>
  <si>
    <t>Configure Event Registration</t>
  </si>
  <si>
    <t>Only an approved booking takes a slot; a pending request is shown but does not</t>
  </si>
  <si>
    <t>Story merged 2026-10-12 (d719eab)</t>
  </si>
  <si>
    <t>Changed by later Sprint 3 merges: src/app/api/events/[id]/route.ts, src/app/events/[id]/RegistrationCard.tsx, src/app/events/[id]/page.tsx, src/lib/eventConfirmation.ts, src/lib/validation/registrations.ts
Shared files changed: prisma/schema.prisma, src/lib/permissions.ts</t>
  </si>
  <si>
    <t>SPM-46-TC14</t>
  </si>
  <si>
    <t>A retired venue's slots are never offered as free</t>
  </si>
  <si>
    <t>View Registration List</t>
  </si>
  <si>
    <t>Story merged 2026-10-17 (135213b)</t>
  </si>
  <si>
    <t>The last merge of the sprint, so nothing has changed since its own test pass. Its journey is in the smoke run (step 19).</t>
  </si>
  <si>
    <t>SPM-54-TC04</t>
  </si>
  <si>
    <t>SPM-67</t>
  </si>
  <si>
    <t>SPM-93, SPM-90, SPM-82</t>
  </si>
  <si>
    <t>Withdraw or Release Venue Booking</t>
  </si>
  <si>
    <t>Story merged 2026-10-13 (e7f9704)</t>
  </si>
  <si>
    <t>Yes - replaced by SPM-54-TC04-R on Jordan's sheet</t>
  </si>
  <si>
    <t>SPM-54-TC14</t>
  </si>
  <si>
    <t>Changed by later Sprint 3 merges: src/app/api/events/[id]/venue-bookings/[bookingId]/route.ts, src/app/api/events/[id]/venue-bookings/route.ts, src/app/api/venue-bookings/[id]/route.ts, src/app/api/venue-bookings/route.ts, src/app/events/[id]/venue/page.tsx, src/lib/eventConfirmation.ts, src/lib/validation/venues.ts
Shared files changed: prisma/schema.prisma, prisma/seed.ts, src/lib/statuses.ts</t>
  </si>
  <si>
    <t>Once in Planning, the coordinator can request a venue booking and record equipment, and sees each with its status</t>
  </si>
  <si>
    <t>SPM-68</t>
  </si>
  <si>
    <t>Review Flagged Arrangements</t>
  </si>
  <si>
    <t>Story merged 2026-10-15 (ee42ff0)</t>
  </si>
  <si>
    <t>SPM-64-TC16</t>
  </si>
  <si>
    <t>Changed by later Sprint 3 merges: src/app/api/events/[id]/arrangements/route.ts, src/app/api/events/[id]/venue-bookings/[bookingId]/route.ts, src/app/events/[id]/booking/new/page.tsx, src/app/events/[id]/readiness/page.tsx, src/app/events/[id]/venue/page.tsx, src/lib/eventConfirmation.ts, src/lib/flaggedArrangements.ts
Shared files changed: prisma/schema.prisma, prisma/seed.ts</t>
  </si>
  <si>
    <t>Incomplete registration setup is outstanding and blocks confirmation until every setting is in place</t>
  </si>
  <si>
    <t>SPM-71</t>
  </si>
  <si>
    <t>View Notifications</t>
  </si>
  <si>
    <t>SPM-64-TC17</t>
  </si>
  <si>
    <t>Story merged 2026-10-13 (631a6bc)</t>
  </si>
  <si>
    <t>Registration that is turned off is not an outstanding arrangement</t>
  </si>
  <si>
    <t>Changed by later Sprint 3 merges: src/app/api/notifications/unread-count/route.ts, src/app/events/[id]/equipment/page.tsx, src/app/events/[id]/page.tsx, src/app/events/[id]/venue/page.tsx, src/components/AppShell.tsx, src/lib/notificationView.ts
Shared files changed: prisma/seed.ts, src/lib/permissions.ts</t>
  </si>
  <si>
    <t>Yes - replaced by SPM-64-TC17-R on Jordan's sheet</t>
  </si>
  <si>
    <t>SPM-81</t>
  </si>
  <si>
    <t>SPM-64-TC18</t>
  </si>
  <si>
    <t>Request More Than One Venue for an Event</t>
  </si>
  <si>
    <t>A capacity measured against a booking that is no longer active is outstanding until another booking is chosen</t>
  </si>
  <si>
    <t>Story merged 2026-10-11 (c231514)</t>
  </si>
  <si>
    <t>Changed by later Sprint 3 merges: src/app/api/events/[id]/route.ts, src/app/api/events/[id]/venue-bookings/route.ts, src/app/api/venue-bookings/[id]/route.ts, src/app/bookings/page.tsx, src/app/events/[id]/booking/new/page.tsx, src/app/events/[id]/page.tsx, src/app/events/[id]/venue/page.tsx, src/lib/equipmentAvailabilityService.ts, src/lib/eventConfirmation.ts, src/lib/venueBookingRequest.ts, src/lib/venueConflict.ts
Shared files changed: prisma/seed.ts</t>
  </si>
  <si>
    <t>SPM-67-TC05</t>
  </si>
  <si>
    <t>SPM-82</t>
  </si>
  <si>
    <t>Expire Tentative Venue Hold</t>
  </si>
  <si>
    <t>Story merged 2026-10-16 (65f6556)</t>
  </si>
  <si>
    <t>Yes - replaced by SPM-67-TC05-R on Sammi's sheet</t>
  </si>
  <si>
    <t>Changed by later Sprint 3 merges: src/app/api/events/[id]/arrangements/route.ts, src/app/api/events/[id]/route.ts, src/app/api/events/[id]/venue-bookings/route.ts, src/app/events/[id]/venue/page.tsx, src/lib/eventConfirmation.ts
Shared files changed: prisma/schema.prisma, prisma/seed.ts, src/lib/statuses.ts</t>
  </si>
  <si>
    <t>SPM-67-TC06</t>
  </si>
  <si>
    <t>A request withdrawn without a reason shows no reason line, leaves the venue outstanding, and the same venue can be requested again</t>
  </si>
  <si>
    <t>SPM-85</t>
  </si>
  <si>
    <t>Safety Officer Role and Access</t>
  </si>
  <si>
    <t>Story merged 2026-10-13 (debfb0d)</t>
  </si>
  <si>
    <t>SPM-68-TC05</t>
  </si>
  <si>
    <t>Changed by later Sprint 3 merges: src/app/api/events/[id]/route.ts, src/app/api/events/[id]/safety-check/route.ts, src/app/api/safety-checks/route.ts, src/app/dashboard/page.tsx, src/app/events/[id]/equipment/page.tsx, src/app/events/[id]/page.tsx, src/app/events/[id]/update/page.tsx, src/app/events/[id]/venue/page.tsx
Shared files changed: prisma/seed.ts, src/lib/permissions.ts, src/lib/roles.ts</t>
  </si>
  <si>
    <t>A flagged venue booking blocks confirmation until it is kept; keeping it from the event's Readiness tab clears the flag, takes it off the Flagged Arrangements page and leaves the booking unchanged</t>
  </si>
  <si>
    <t>Submit Event for Operational Safety Check</t>
  </si>
  <si>
    <t>Story merged 2026-10-10 (2f46224)</t>
  </si>
  <si>
    <t>Yes - replaced by SPM-68-TC05-R on Sammi's sheet</t>
  </si>
  <si>
    <t>Changed by later Sprint 3 merges: src/app/api/events/[id]/route.ts, src/app/api/events/[id]/safety-check/route.ts, src/app/dashboard/page.tsx, src/app/events/[id]/page.tsx, src/app/events/page.tsx, src/lib/equipmentAvailability.ts, src/lib/eventConfirmation.ts, src/lib/safetyCheck.ts
Shared files changed: prisma/schema.prisma, src/lib/permissions.ts, src/lib/statuses.ts</t>
  </si>
  <si>
    <t>SPM-68-TC12</t>
  </si>
  <si>
    <t>An event whose only flag is on its registrations can still be confirmed</t>
  </si>
  <si>
    <t>SPM-87</t>
  </si>
  <si>
    <t>Conduct Operational Safety Check</t>
  </si>
  <si>
    <t>Yes - replaced by SPM-68-TC12-R on Sammi's sheet</t>
  </si>
  <si>
    <t>Story merged 2026-10-14 (74f6026)</t>
  </si>
  <si>
    <t>SPM-68-TC14</t>
  </si>
  <si>
    <t>Changed by later Sprint 3 merges: src/app/api/events/[id]/route.ts, src/app/events/[id]/page.tsx, src/lib/safetyDecision.ts
Shared files changed: src/lib/permissions.ts, src/lib/statuses.ts</t>
  </si>
  <si>
    <t>The flagged booking is released from the event's Venue tab, reached from the Flagged Arrangements page; it then leaves the page, stays on the event record as Released, and the replacement request and the event are unchanged</t>
  </si>
  <si>
    <t>Yes - replaced by SPM-68-TC14-R on Sammi's sheet</t>
  </si>
  <si>
    <t>SPM-82-TC08</t>
  </si>
  <si>
    <t>Resolve Safety Check Outcome</t>
  </si>
  <si>
    <t>After a hold expires the event's venue arrangement is outstanding, and the event cannot be confirmed on it</t>
  </si>
  <si>
    <t>Story merged 2026-10-16 (0862663)</t>
  </si>
  <si>
    <t>Changed by later Sprint 3 merges: src/app/api/events/[id]/route.ts, src/app/api/events/[id]/venue-bookings/route.ts, src/app/events/[id]/equipment/page.tsx, src/app/events/[id]/page.tsx, src/app/events/[id]/venue/page.tsx
Shared files changed: src/lib/permissions.ts</t>
  </si>
  <si>
    <t>SPM-90-TC08</t>
  </si>
  <si>
    <t>SPM-90</t>
  </si>
  <si>
    <t>An event with one approved and one pending venue booking cannot be confirmed, and the refusal names the room that is not yet approved and what it is for</t>
  </si>
  <si>
    <t>Check Each Venue Against Its Own Requirements</t>
  </si>
  <si>
    <t>Story merged 2026-10-14 (6d7697f)</t>
  </si>
  <si>
    <t>SPM-90-TC09</t>
  </si>
  <si>
    <t>Changed by later Sprint 3 merges: src/app/api/events/[id]/route.ts, src/app/api/events/[id]/venue-bookings/route.ts, src/app/api/venue-bookings/route.ts, src/app/bookings/page.tsx, src/app/events/[id]/booking/new/page.tsx, src/app/events/[id]/page.tsx, src/app/events/[id]/readiness/page.tsx, src/app/events/[id]/venue/page.tsx, src/lib/eventArrangements.ts, src/lib/eventConfirmation.ts, src/lib/validation/venues.ts
Shared files changed: prisma/schema.prisma, prisma/seed.ts</t>
  </si>
  <si>
    <t>Once Venue Staff approve the last pending room, an event with two venue bookings can be confirmed</t>
  </si>
  <si>
    <t>Yes - replaced by SPM-90-TC09-R on Janelle's sheet</t>
  </si>
  <si>
    <t>Book Venues in 15-Minute Units</t>
  </si>
  <si>
    <t>SPM-90-TC10</t>
  </si>
  <si>
    <t>Story merged 2026-10-09 (ff62e26)</t>
  </si>
  <si>
    <t>An event with a single approved venue booking made before this change is listed without a purpose and is confirmed as before</t>
  </si>
  <si>
    <t>Changed by later Sprint 3 merges: src/app/api/events/[id]/venue-bookings/route.ts, src/app/api/venues/[id]/availability/route.ts, src/app/bookings/page.tsx, src/app/events/[id]/booking/new/page.tsx, src/app/events/[id]/venue/page.tsx, src/lib/validation/venues.ts, src/lib/venueAvailability.ts, src/lib/venueBookingRequest.ts, src/lib/venueBookingReview.ts
Shared files changed: prisma/seed.ts</t>
  </si>
  <si>
    <t>Yes - replaced by SPM-90-TC10-R on Janelle's sheet</t>
  </si>
  <si>
    <t>Every story with test cases except SPM-65 is in scope: Sprint 3 reworked the event page, venue booking and readiness code that almost every earlier story uses. No sprint-2-end tag was made, so the baseline is a5730c5, the last commit on main before Sprint 3 started (4 Oct 2026).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</si>
</sst>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
    <numFmt numFmtId="166" formatCode="d mmmm yyyy"/>
  </numFmts>
  <fonts count="9">
    <font>
      <sz val="11.0"/>
      <color theme="1"/>
      <name val="Calibri"/>
      <scheme val="minor"/>
    </font>
    <font>
      <b/>
      <sz val="14.0"/>
      <color rgb="FF1F3864"/>
      <name val="Arial"/>
    </font>
    <font>
      <i/>
      <sz val="10.0"/>
      <color rgb="FF595959"/>
      <name val="Arial"/>
    </font>
    <font>
      <b/>
      <sz val="10.0"/>
      <color rgb="FFFFFFFF"/>
      <name val="Arial"/>
    </font>
    <font>
      <sz val="10.0"/>
      <color theme="1"/>
      <name val="Arial"/>
    </font>
    <font>
      <b/>
      <color theme="1"/>
      <name val="Calibri"/>
      <scheme val="minor"/>
    </font>
    <font>
      <sz val="11.0"/>
      <color theme="1"/>
      <name val="Calibri"/>
    </font>
    <font/>
    <font>
      <color theme="1"/>
      <name val="Calibri"/>
      <scheme val="minor"/>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s>
  <borders count="6">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1" fillId="0" fontId="4" numFmtId="0" xfId="0" applyAlignment="1" applyBorder="1" applyFont="1">
      <alignment shrinkToFit="0" vertical="top" wrapText="1"/>
    </xf>
    <xf borderId="1" fillId="3" fontId="4" numFmtId="0" xfId="0" applyAlignment="1" applyBorder="1" applyFill="1" applyFont="1">
      <alignment shrinkToFit="0" vertical="top" wrapText="1"/>
    </xf>
    <xf borderId="2" fillId="4" fontId="5" numFmtId="0" xfId="0" applyBorder="1" applyFill="1" applyFont="1"/>
    <xf borderId="1" fillId="3" fontId="4" numFmtId="0" xfId="0" applyAlignment="1" applyBorder="1" applyFill="1" applyFont="1">
      <alignment readingOrder="0" shrinkToFit="0" vertical="top" wrapText="1"/>
    </xf>
    <xf borderId="2" fillId="4" fontId="6" numFmtId="0" xfId="0" applyBorder="1" applyFill="1" applyFont="1"/>
    <xf borderId="3" fillId="2" fontId="3" numFmtId="0" xfId="0" applyAlignment="1" applyBorder="1" applyFill="1" applyFont="1">
      <alignment shrinkToFit="0" vertical="center" wrapText="1"/>
    </xf>
    <xf borderId="4" fillId="0" fontId="7" numFmtId="0" xfId="0" applyBorder="1" applyFont="1"/>
    <xf borderId="5" fillId="0" fontId="7" numFmtId="0" xfId="0" applyBorder="1" applyFont="1"/>
    <xf borderId="3" fillId="0" fontId="4" numFmtId="0" xfId="0" applyAlignment="1" applyBorder="1" applyFont="1">
      <alignment shrinkToFit="0" vertical="top" wrapText="1"/>
    </xf>
    <xf borderId="1" fillId="3" fontId="4" numFmtId="164" xfId="0" applyAlignment="1" applyBorder="1" applyFill="1" applyFont="1" applyNumberFormat="1">
      <alignment readingOrder="0" shrinkToFit="0" vertical="top" wrapText="1"/>
    </xf>
    <xf borderId="1" fillId="3" fontId="4" numFmtId="165" xfId="0" applyAlignment="1" applyBorder="1" applyFill="1" applyFont="1" applyNumberFormat="1">
      <alignment readingOrder="0" shrinkToFit="0" vertical="top" wrapText="1"/>
    </xf>
    <xf borderId="0" fillId="0" fontId="5" numFmtId="0" xfId="0" applyFont="1"/>
    <xf borderId="2" fillId="4" fontId="6" numFmtId="0" xfId="0" applyAlignment="1" applyBorder="1" applyFill="1" applyFont="1">
      <alignment readingOrder="0"/>
    </xf>
    <xf borderId="1" fillId="0" fontId="4" numFmtId="0" xfId="0" applyAlignment="1" applyBorder="1" applyFont="1">
      <alignment readingOrder="0" shrinkToFit="0" vertical="top" wrapText="1"/>
    </xf>
    <xf borderId="1" fillId="3" fontId="4" numFmtId="166" xfId="0" applyAlignment="1" applyBorder="1" applyFill="1" applyFont="1" applyNumberFormat="1">
      <alignment readingOrder="0" shrinkToFit="0" vertical="top" wrapText="1"/>
    </xf>
    <xf borderId="0" fillId="0" fontId="8" numFmtId="0" xfId="0" applyAlignment="1" applyFont="1">
      <alignment readingOrder="0"/>
    </xf>
    <xf borderId="0" fillId="0" fontId="8" numFmtId="0" xfId="0" applyFont="1"/>
  </cellXfs>
  <cellStyles count="1">
    <cellStyle xfId="0" name="Normal" builtinId="0"/>
  </cellStyles>
  <dxfs count="4">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6.0"/>
    <col customWidth="1" min="3" max="4" width="12.0"/>
    <col customWidth="1" min="5" max="5" width="18.0"/>
    <col customWidth="1" min="6" max="7" width="12.0"/>
    <col customWidth="1" min="8" max="26" width="8.71"/>
  </cols>
  <sheetData>
    <row r="1">
      <c r="A1" s="1" t="s">
        <v>2</v>
      </c>
    </row>
    <row r="2">
      <c r="A2" s="2" t="s">
        <v>5</v>
      </c>
    </row>
    <row r="4">
      <c r="A4" s="4" t="s">
        <v>7</v>
      </c>
      <c r="B4" s="4">
        <v>3.0</v>
      </c>
    </row>
    <row r="5">
      <c r="A5" s="4" t="s">
        <v>17</v>
      </c>
      <c r="B5" s="5"/>
    </row>
    <row r="6">
      <c r="A6" s="4" t="s">
        <v>25</v>
      </c>
      <c r="B6" s="5"/>
    </row>
    <row r="7">
      <c r="A7" s="4" t="s">
        <v>27</v>
      </c>
      <c r="B7" s="5"/>
      <c r="C7" s="4" t="s">
        <v>28</v>
      </c>
    </row>
    <row r="8">
      <c r="A8" s="4" t="s">
        <v>30</v>
      </c>
      <c r="B8" s="4" t="s">
        <v>32</v>
      </c>
    </row>
    <row r="10">
      <c r="A10" s="3" t="s">
        <v>39</v>
      </c>
      <c r="B10" s="3" t="s">
        <v>16</v>
      </c>
      <c r="C10" s="3" t="s">
        <v>40</v>
      </c>
      <c r="D10" s="9" t="s">
        <v>18</v>
      </c>
      <c r="E10" s="10"/>
      <c r="F10" s="10"/>
      <c r="G10" s="11"/>
    </row>
    <row r="11">
      <c r="A11" s="4" t="s">
        <v>51</v>
      </c>
      <c r="B11" s="5"/>
      <c r="C11" s="5"/>
      <c r="D11" s="12" t="s">
        <v>56</v>
      </c>
      <c r="E11" s="10"/>
      <c r="F11" s="10"/>
      <c r="G11" s="11"/>
    </row>
    <row r="12">
      <c r="A12" s="4" t="s">
        <v>69</v>
      </c>
      <c r="B12" s="7" t="s">
        <v>41</v>
      </c>
      <c r="C12" s="7" t="s">
        <v>76</v>
      </c>
      <c r="D12" s="12" t="s">
        <v>78</v>
      </c>
      <c r="E12" s="10"/>
      <c r="F12" s="10"/>
      <c r="G12" s="11"/>
    </row>
    <row r="13">
      <c r="A13" s="4" t="s">
        <v>85</v>
      </c>
      <c r="B13" s="7" t="s">
        <v>41</v>
      </c>
      <c r="C13" s="7" t="s">
        <v>76</v>
      </c>
      <c r="D13" s="12" t="s">
        <v>78</v>
      </c>
      <c r="E13" s="10"/>
      <c r="F13" s="10"/>
      <c r="G13" s="11"/>
    </row>
    <row r="16">
      <c r="A16" s="3" t="s">
        <v>98</v>
      </c>
      <c r="B16" s="3" t="s">
        <v>101</v>
      </c>
      <c r="C16" s="3" t="s">
        <v>41</v>
      </c>
      <c r="D16" s="3" t="s">
        <v>104</v>
      </c>
      <c r="E16" s="3" t="s">
        <v>107</v>
      </c>
      <c r="F16" s="3" t="s">
        <v>110</v>
      </c>
      <c r="G16" s="3" t="s">
        <v>113</v>
      </c>
    </row>
    <row r="17">
      <c r="A17" s="4" t="s">
        <v>114</v>
      </c>
      <c r="B17" s="4">
        <f>COUNT(Kayalvizhi!$A$5:$A$44)</f>
        <v>31</v>
      </c>
      <c r="C17" s="4">
        <f>COUNTIF(Kayalvizhi!$J$5:$J$44,"Pass")</f>
        <v>30</v>
      </c>
      <c r="D17" s="4">
        <f>COUNTIF(Kayalvizhi!$J$5:$J$44,"Fail")</f>
        <v>0</v>
      </c>
      <c r="E17" s="4">
        <f>COUNTIF(Kayalvizhi!$J$5:$J$44,"Changed by design")</f>
        <v>1</v>
      </c>
      <c r="F17" s="4">
        <f>COUNTIF(Kayalvizhi!$J$5:$J$44,"Blocked")</f>
        <v>0</v>
      </c>
      <c r="G17" s="4">
        <f t="shared" ref="G17:G21" si="1">B17-SUM(C17:F17)</f>
        <v>0</v>
      </c>
    </row>
    <row r="18">
      <c r="A18" s="4" t="s">
        <v>275</v>
      </c>
      <c r="B18" s="4">
        <f>COUNT(Jordan!$A$5:$A$50)</f>
        <v>38</v>
      </c>
      <c r="C18" s="4">
        <f>COUNTIF(Jordan!$J$5:$J$50,"Pass")</f>
        <v>37</v>
      </c>
      <c r="D18" s="4">
        <f>COUNTIF(Jordan!$J$5:$J$50,"Fail")</f>
        <v>0</v>
      </c>
      <c r="E18" s="4">
        <f>COUNTIF(Jordan!$J$5:$J$50,"Changed by design")</f>
        <v>1</v>
      </c>
      <c r="F18" s="4">
        <f>COUNTIF(Jordan!$J$5:$J$50,"Blocked")</f>
        <v>0</v>
      </c>
      <c r="G18" s="4">
        <f t="shared" si="1"/>
        <v>0</v>
      </c>
    </row>
    <row r="19">
      <c r="A19" s="4" t="s">
        <v>320</v>
      </c>
      <c r="B19" s="4">
        <f>COUNT(Janelle!$A$5:$A$43)</f>
        <v>31</v>
      </c>
      <c r="C19" s="4">
        <f>COUNTIF(Janelle!$J$5:$J$43,"Pass")</f>
        <v>31</v>
      </c>
      <c r="D19" s="4">
        <f>COUNTIF(Janelle!$J$5:$J$43,"Fail")</f>
        <v>0</v>
      </c>
      <c r="E19" s="4">
        <f>COUNTIF(Janelle!$J$5:$J$43,"Changed by design")</f>
        <v>0</v>
      </c>
      <c r="F19" s="4">
        <f>COUNTIF(Janelle!$J$5:$J$43,"Blocked")</f>
        <v>0</v>
      </c>
      <c r="G19" s="4">
        <f t="shared" si="1"/>
        <v>0</v>
      </c>
    </row>
    <row r="20">
      <c r="A20" s="4" t="s">
        <v>373</v>
      </c>
      <c r="B20" s="4">
        <f>COUNT(Sammi!$A$5:$A$42)</f>
        <v>31</v>
      </c>
      <c r="C20" s="4">
        <f>COUNTIF(Sammi!$J$5:$J$42,"Pass")</f>
        <v>30</v>
      </c>
      <c r="D20" s="4">
        <f>COUNTIF(Sammi!$J$5:$J$42,"Fail")</f>
        <v>0</v>
      </c>
      <c r="E20" s="4">
        <f>COUNTIF(Sammi!$J$5:$J$42,"Changed by design")</f>
        <v>1</v>
      </c>
      <c r="F20" s="4">
        <f>COUNTIF(Sammi!$J$5:$J$42,"Blocked")</f>
        <v>0</v>
      </c>
      <c r="G20" s="4">
        <f t="shared" si="1"/>
        <v>0</v>
      </c>
    </row>
    <row r="21" ht="15.75" customHeight="1">
      <c r="A21" s="4" t="s">
        <v>411</v>
      </c>
      <c r="B21" s="4">
        <f>COUNT(Kristen!$A$5:$A$50)</f>
        <v>38</v>
      </c>
      <c r="C21" s="4">
        <f>COUNTIF(Kristen!$J$5:$J$50,"Pass")</f>
        <v>38</v>
      </c>
      <c r="D21" s="4">
        <f>COUNTIF(Kristen!$J$5:$J$50,"Fail")</f>
        <v>0</v>
      </c>
      <c r="E21" s="4">
        <f>COUNTIF(Kristen!$J$5:$J$50,"Changed by design")</f>
        <v>0</v>
      </c>
      <c r="F21" s="4">
        <f>COUNTIF(Kristen!$J$5:$J$50,"Blocked")</f>
        <v>0</v>
      </c>
      <c r="G21" s="4">
        <f t="shared" si="1"/>
        <v>0</v>
      </c>
    </row>
    <row r="22" ht="15.75" customHeight="1">
      <c r="A22" s="4" t="s">
        <v>451</v>
      </c>
      <c r="B22" s="4">
        <f>COUNTA('Smoke run'!$A$5:$A$24)</f>
        <v>20</v>
      </c>
      <c r="C22" s="4">
        <f>COUNTIF('Smoke run'!$G$5:$G$24,"Pass")</f>
        <v>2</v>
      </c>
      <c r="D22" s="4">
        <f>COUNTIF('Smoke run'!$G$5:$G$24,"Fail")</f>
        <v>0</v>
      </c>
      <c r="E22" s="4"/>
      <c r="F22" s="4"/>
      <c r="G22" s="4">
        <f>B22-SUM(C22:D22)</f>
        <v>18</v>
      </c>
    </row>
    <row r="23" ht="15.75" customHeight="1">
      <c r="A23" s="15" t="s">
        <v>491</v>
      </c>
      <c r="B23" s="15">
        <f t="shared" ref="B23:G23" si="2">SUM(B17:B22)</f>
        <v>189</v>
      </c>
      <c r="C23" s="15">
        <f t="shared" si="2"/>
        <v>168</v>
      </c>
      <c r="D23" s="15">
        <f t="shared" si="2"/>
        <v>0</v>
      </c>
      <c r="E23" s="15">
        <f t="shared" si="2"/>
        <v>3</v>
      </c>
      <c r="F23" s="15">
        <f t="shared" si="2"/>
        <v>0</v>
      </c>
      <c r="G23" s="15">
        <f t="shared" si="2"/>
        <v>18</v>
      </c>
    </row>
    <row r="24" ht="15.75" customHeight="1"/>
    <row r="25" ht="15.75" customHeight="1">
      <c r="A25" s="3" t="s">
        <v>16</v>
      </c>
      <c r="B25" s="9" t="s">
        <v>521</v>
      </c>
      <c r="C25" s="10"/>
      <c r="D25" s="11"/>
      <c r="E25" s="9" t="s">
        <v>12</v>
      </c>
      <c r="F25" s="10"/>
      <c r="G25" s="11"/>
    </row>
    <row r="26" ht="30.0" customHeight="1">
      <c r="A26" s="4" t="s">
        <v>41</v>
      </c>
      <c r="B26" s="12" t="s">
        <v>536</v>
      </c>
      <c r="C26" s="10"/>
      <c r="D26" s="11"/>
      <c r="E26" s="12" t="s">
        <v>543</v>
      </c>
      <c r="F26" s="10"/>
      <c r="G26" s="11"/>
    </row>
    <row r="27" ht="30.0" customHeight="1">
      <c r="A27" s="4" t="s">
        <v>104</v>
      </c>
      <c r="B27" s="12" t="s">
        <v>552</v>
      </c>
      <c r="C27" s="10"/>
      <c r="D27" s="11"/>
      <c r="E27" s="12" t="s">
        <v>557</v>
      </c>
      <c r="F27" s="10"/>
      <c r="G27" s="11"/>
    </row>
    <row r="28" ht="30.0" customHeight="1">
      <c r="A28" s="4" t="s">
        <v>107</v>
      </c>
      <c r="B28" s="12" t="s">
        <v>566</v>
      </c>
      <c r="C28" s="10"/>
      <c r="D28" s="11"/>
      <c r="E28" s="12" t="s">
        <v>573</v>
      </c>
      <c r="F28" s="10"/>
      <c r="G28" s="11"/>
    </row>
    <row r="29" ht="30.0" customHeight="1">
      <c r="A29" s="4" t="s">
        <v>110</v>
      </c>
      <c r="B29" s="12" t="s">
        <v>580</v>
      </c>
      <c r="C29" s="10"/>
      <c r="D29" s="11"/>
      <c r="E29" s="12" t="s">
        <v>584</v>
      </c>
      <c r="F29" s="10"/>
      <c r="G29" s="11"/>
    </row>
    <row r="30" ht="15.75" customHeight="1"/>
    <row r="31" ht="15.75" customHeight="1">
      <c r="A31" s="15" t="s">
        <v>588</v>
      </c>
    </row>
    <row r="32" ht="15.75" customHeight="1">
      <c r="A32" s="4" t="s">
        <v>591</v>
      </c>
    </row>
    <row r="33" ht="15.75" customHeight="1">
      <c r="A33" s="4" t="s">
        <v>594</v>
      </c>
    </row>
    <row r="34" ht="15.75" customHeight="1">
      <c r="A34" s="4" t="s">
        <v>597</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6:D26"/>
    <mergeCell ref="B27:D27"/>
    <mergeCell ref="B28:D28"/>
    <mergeCell ref="B29:D29"/>
    <mergeCell ref="E27:G27"/>
    <mergeCell ref="E28:G28"/>
    <mergeCell ref="E29:G29"/>
    <mergeCell ref="D10:G10"/>
    <mergeCell ref="D11:G11"/>
    <mergeCell ref="D12:G12"/>
    <mergeCell ref="D13:G13"/>
    <mergeCell ref="B25:D25"/>
    <mergeCell ref="E25:G25"/>
    <mergeCell ref="E26:G26"/>
  </mergeCells>
  <conditionalFormatting sqref="B11:B13">
    <cfRule type="cellIs" dxfId="0" priority="1" operator="equal">
      <formula>"Pass"</formula>
    </cfRule>
  </conditionalFormatting>
  <conditionalFormatting sqref="B11:B13">
    <cfRule type="cellIs" dxfId="1" priority="2" operator="equal">
      <formula>"Fail"</formula>
    </cfRule>
  </conditionalFormatting>
  <dataValidations>
    <dataValidation type="list" allowBlank="1" sqref="B11:B13">
      <formula1>"Pass,Fail"</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16.0"/>
    <col customWidth="1" min="3" max="3" width="30.0"/>
    <col customWidth="1" min="4" max="4" width="62.0"/>
    <col customWidth="1" min="5" max="5" width="52.0"/>
    <col customWidth="1" min="6" max="6" width="16.0"/>
    <col customWidth="1" min="7" max="7" width="12.0"/>
    <col customWidth="1" min="8" max="8" width="40.0"/>
    <col customWidth="1" min="9" max="26" width="8.71"/>
  </cols>
  <sheetData>
    <row r="1">
      <c r="A1" s="1" t="s">
        <v>0</v>
      </c>
    </row>
    <row r="2">
      <c r="A2" s="2" t="s">
        <v>4</v>
      </c>
    </row>
    <row r="4">
      <c r="A4" s="3" t="s">
        <v>8</v>
      </c>
      <c r="B4" s="3" t="s">
        <v>10</v>
      </c>
      <c r="C4" s="3" t="s">
        <v>11</v>
      </c>
      <c r="D4" s="3" t="s">
        <v>12</v>
      </c>
      <c r="E4" s="3" t="s">
        <v>13</v>
      </c>
      <c r="F4" s="3" t="s">
        <v>14</v>
      </c>
      <c r="G4" s="3" t="s">
        <v>16</v>
      </c>
      <c r="H4" s="3" t="s">
        <v>18</v>
      </c>
    </row>
    <row r="5">
      <c r="A5" s="4">
        <v>1.0</v>
      </c>
      <c r="B5" s="5" t="s">
        <v>31</v>
      </c>
      <c r="C5" s="4" t="s">
        <v>33</v>
      </c>
      <c r="D5" s="4" t="s">
        <v>35</v>
      </c>
      <c r="E5" s="4" t="s">
        <v>37</v>
      </c>
      <c r="F5" s="4" t="s">
        <v>38</v>
      </c>
      <c r="G5" s="7" t="s">
        <v>41</v>
      </c>
      <c r="H5" s="7"/>
    </row>
    <row r="6">
      <c r="A6" s="4">
        <v>2.0</v>
      </c>
      <c r="B6" s="5" t="s">
        <v>31</v>
      </c>
      <c r="C6" s="4" t="s">
        <v>42</v>
      </c>
      <c r="D6" s="4" t="s">
        <v>43</v>
      </c>
      <c r="E6" s="4" t="s">
        <v>44</v>
      </c>
      <c r="F6" s="4" t="s">
        <v>45</v>
      </c>
      <c r="G6" s="7" t="s">
        <v>41</v>
      </c>
      <c r="H6" s="5"/>
    </row>
    <row r="7">
      <c r="A7" s="4">
        <v>3.0</v>
      </c>
      <c r="B7" s="5" t="s">
        <v>46</v>
      </c>
      <c r="C7" s="4" t="s">
        <v>47</v>
      </c>
      <c r="D7" s="4" t="s">
        <v>48</v>
      </c>
      <c r="E7" s="4" t="s">
        <v>49</v>
      </c>
      <c r="F7" s="4" t="s">
        <v>50</v>
      </c>
      <c r="G7" s="5"/>
      <c r="H7" s="5"/>
    </row>
    <row r="8">
      <c r="A8" s="4">
        <v>4.0</v>
      </c>
      <c r="B8" s="5" t="s">
        <v>46</v>
      </c>
      <c r="C8" s="4" t="s">
        <v>53</v>
      </c>
      <c r="D8" s="4" t="s">
        <v>55</v>
      </c>
      <c r="E8" s="4" t="s">
        <v>57</v>
      </c>
      <c r="F8" s="4" t="s">
        <v>59</v>
      </c>
      <c r="G8" s="5"/>
      <c r="H8" s="5"/>
    </row>
    <row r="9">
      <c r="A9" s="4">
        <v>5.0</v>
      </c>
      <c r="B9" s="5" t="s">
        <v>46</v>
      </c>
      <c r="C9" s="4" t="s">
        <v>53</v>
      </c>
      <c r="D9" s="4" t="s">
        <v>66</v>
      </c>
      <c r="E9" s="4" t="s">
        <v>68</v>
      </c>
      <c r="F9" s="4" t="s">
        <v>71</v>
      </c>
      <c r="G9" s="5"/>
      <c r="H9" s="5"/>
    </row>
    <row r="10">
      <c r="A10" s="4">
        <v>6.0</v>
      </c>
      <c r="B10" s="5" t="s">
        <v>46</v>
      </c>
      <c r="C10" s="4" t="s">
        <v>53</v>
      </c>
      <c r="D10" s="4" t="s">
        <v>75</v>
      </c>
      <c r="E10" s="4" t="s">
        <v>77</v>
      </c>
      <c r="F10" s="4" t="s">
        <v>79</v>
      </c>
      <c r="G10" s="5"/>
      <c r="H10" s="5"/>
    </row>
    <row r="11">
      <c r="A11" s="4">
        <v>7.0</v>
      </c>
      <c r="B11" s="5" t="s">
        <v>80</v>
      </c>
      <c r="C11" s="4" t="s">
        <v>81</v>
      </c>
      <c r="D11" s="4" t="s">
        <v>82</v>
      </c>
      <c r="E11" s="4" t="s">
        <v>83</v>
      </c>
      <c r="F11" s="4" t="s">
        <v>84</v>
      </c>
      <c r="G11" s="5"/>
      <c r="H11" s="5"/>
    </row>
    <row r="12">
      <c r="A12" s="4">
        <v>8.0</v>
      </c>
      <c r="B12" s="5" t="s">
        <v>80</v>
      </c>
      <c r="C12" s="4" t="s">
        <v>86</v>
      </c>
      <c r="D12" s="4" t="s">
        <v>88</v>
      </c>
      <c r="E12" s="4" t="s">
        <v>90</v>
      </c>
      <c r="F12" s="4" t="s">
        <v>92</v>
      </c>
      <c r="G12" s="5"/>
      <c r="H12" s="5"/>
    </row>
    <row r="13">
      <c r="A13" s="4">
        <v>9.0</v>
      </c>
      <c r="B13" s="5" t="s">
        <v>80</v>
      </c>
      <c r="C13" s="4" t="s">
        <v>100</v>
      </c>
      <c r="D13" s="4" t="s">
        <v>103</v>
      </c>
      <c r="E13" s="4" t="s">
        <v>105</v>
      </c>
      <c r="F13" s="4" t="s">
        <v>108</v>
      </c>
      <c r="G13" s="5"/>
      <c r="H13" s="5"/>
    </row>
    <row r="14">
      <c r="A14" s="4">
        <v>10.0</v>
      </c>
      <c r="B14" s="5" t="s">
        <v>76</v>
      </c>
      <c r="C14" s="4" t="s">
        <v>53</v>
      </c>
      <c r="D14" s="4" t="s">
        <v>115</v>
      </c>
      <c r="E14" s="4" t="s">
        <v>116</v>
      </c>
      <c r="F14" s="4" t="s">
        <v>117</v>
      </c>
      <c r="G14" s="5"/>
      <c r="H14" s="5"/>
    </row>
    <row r="15">
      <c r="A15" s="4">
        <v>11.0</v>
      </c>
      <c r="B15" s="5" t="s">
        <v>76</v>
      </c>
      <c r="C15" s="4" t="s">
        <v>53</v>
      </c>
      <c r="D15" s="4" t="s">
        <v>128</v>
      </c>
      <c r="E15" s="4" t="s">
        <v>130</v>
      </c>
      <c r="F15" s="4" t="s">
        <v>134</v>
      </c>
      <c r="G15" s="5"/>
      <c r="H15" s="5"/>
    </row>
    <row r="16">
      <c r="A16" s="4">
        <v>12.0</v>
      </c>
      <c r="B16" s="5" t="s">
        <v>80</v>
      </c>
      <c r="C16" s="4" t="s">
        <v>100</v>
      </c>
      <c r="D16" s="4" t="s">
        <v>146</v>
      </c>
      <c r="E16" s="4" t="s">
        <v>148</v>
      </c>
      <c r="F16" s="4" t="s">
        <v>151</v>
      </c>
      <c r="G16" s="5"/>
      <c r="H16" s="5"/>
    </row>
    <row r="17">
      <c r="A17" s="4">
        <v>13.0</v>
      </c>
      <c r="B17" s="5" t="s">
        <v>76</v>
      </c>
      <c r="C17" s="4" t="s">
        <v>53</v>
      </c>
      <c r="D17" s="4" t="s">
        <v>162</v>
      </c>
      <c r="E17" s="4" t="s">
        <v>165</v>
      </c>
      <c r="F17" s="4" t="s">
        <v>168</v>
      </c>
      <c r="G17" s="5"/>
      <c r="H17" s="5"/>
    </row>
    <row r="18">
      <c r="A18" s="4">
        <v>14.0</v>
      </c>
      <c r="B18" s="5" t="s">
        <v>76</v>
      </c>
      <c r="C18" s="4" t="s">
        <v>53</v>
      </c>
      <c r="D18" s="4" t="s">
        <v>178</v>
      </c>
      <c r="E18" s="4" t="s">
        <v>180</v>
      </c>
      <c r="F18" s="4" t="s">
        <v>181</v>
      </c>
      <c r="G18" s="5"/>
      <c r="H18" s="5"/>
    </row>
    <row r="19">
      <c r="A19" s="4">
        <v>15.0</v>
      </c>
      <c r="B19" s="5" t="s">
        <v>185</v>
      </c>
      <c r="C19" s="4" t="s">
        <v>186</v>
      </c>
      <c r="D19" s="4" t="s">
        <v>188</v>
      </c>
      <c r="E19" s="4" t="s">
        <v>190</v>
      </c>
      <c r="F19" s="4" t="s">
        <v>191</v>
      </c>
      <c r="G19" s="5"/>
      <c r="H19" s="5"/>
    </row>
    <row r="20">
      <c r="A20" s="4">
        <v>16.0</v>
      </c>
      <c r="B20" s="5" t="s">
        <v>194</v>
      </c>
      <c r="C20" s="4" t="s">
        <v>197</v>
      </c>
      <c r="D20" s="4" t="s">
        <v>199</v>
      </c>
      <c r="E20" s="4" t="s">
        <v>200</v>
      </c>
      <c r="F20" s="4" t="s">
        <v>202</v>
      </c>
      <c r="G20" s="5"/>
      <c r="H20" s="5"/>
    </row>
    <row r="21" ht="15.75" customHeight="1">
      <c r="A21" s="4">
        <v>17.0</v>
      </c>
      <c r="B21" s="5" t="s">
        <v>209</v>
      </c>
      <c r="C21" s="4" t="s">
        <v>211</v>
      </c>
      <c r="D21" s="4" t="s">
        <v>213</v>
      </c>
      <c r="E21" s="4" t="s">
        <v>216</v>
      </c>
      <c r="F21" s="4" t="s">
        <v>217</v>
      </c>
      <c r="G21" s="5"/>
      <c r="H21" s="5"/>
    </row>
    <row r="22" ht="15.75" customHeight="1">
      <c r="A22" s="4">
        <v>18.0</v>
      </c>
      <c r="B22" s="5" t="s">
        <v>185</v>
      </c>
      <c r="C22" s="4" t="s">
        <v>225</v>
      </c>
      <c r="D22" s="4" t="s">
        <v>227</v>
      </c>
      <c r="E22" s="4" t="s">
        <v>229</v>
      </c>
      <c r="F22" s="4" t="s">
        <v>231</v>
      </c>
      <c r="G22" s="5"/>
      <c r="H22" s="5"/>
    </row>
    <row r="23" ht="15.75" customHeight="1">
      <c r="A23" s="4">
        <v>19.0</v>
      </c>
      <c r="B23" s="5" t="s">
        <v>237</v>
      </c>
      <c r="C23" s="4" t="s">
        <v>238</v>
      </c>
      <c r="D23" s="4" t="s">
        <v>239</v>
      </c>
      <c r="E23" s="4" t="s">
        <v>241</v>
      </c>
      <c r="F23" s="4" t="s">
        <v>244</v>
      </c>
      <c r="G23" s="5"/>
      <c r="H23" s="5"/>
    </row>
    <row r="24" ht="15.75" customHeight="1">
      <c r="A24" s="4">
        <v>20.0</v>
      </c>
      <c r="B24" s="5" t="s">
        <v>248</v>
      </c>
      <c r="C24" s="4" t="s">
        <v>250</v>
      </c>
      <c r="D24" s="4" t="s">
        <v>252</v>
      </c>
      <c r="E24" s="4" t="s">
        <v>255</v>
      </c>
      <c r="F24" s="4" t="s">
        <v>258</v>
      </c>
      <c r="G24" s="5"/>
      <c r="H24" s="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5:G24">
    <cfRule type="cellIs" dxfId="0" priority="1" operator="equal">
      <formula>"Pass"</formula>
    </cfRule>
  </conditionalFormatting>
  <conditionalFormatting sqref="G5:G24">
    <cfRule type="cellIs" dxfId="1" priority="2" operator="equal">
      <formula>"Fail"</formula>
    </cfRule>
  </conditionalFormatting>
  <dataValidations>
    <dataValidation type="list" allowBlank="1" sqref="B5:B24">
      <formula1>"Kayalvizhi,Jordan,Janelle,Sammi,Kristen,Everyone"</formula1>
    </dataValidation>
    <dataValidation type="list" allowBlank="1" sqref="G5:G24">
      <formula1>"Pass,Fail"</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5.0"/>
    <col customWidth="1" min="3" max="3" width="34.0"/>
    <col customWidth="1" min="4" max="5" width="10.0"/>
    <col customWidth="1" min="6" max="6" width="46.0"/>
    <col customWidth="1" min="7" max="7" width="30.0"/>
    <col customWidth="1" min="8" max="8" width="58.0"/>
    <col customWidth="1" min="9" max="9" width="72.0"/>
    <col customWidth="1" min="10" max="10" width="18.0"/>
    <col customWidth="1" min="11" max="11" width="12.0"/>
    <col customWidth="1" min="12" max="12" width="34.0"/>
    <col customWidth="1" min="13" max="26" width="8.71"/>
  </cols>
  <sheetData>
    <row r="1">
      <c r="A1" s="1" t="s">
        <v>1</v>
      </c>
    </row>
    <row r="2">
      <c r="A2" s="2" t="s">
        <v>6</v>
      </c>
    </row>
    <row r="4">
      <c r="A4" s="3" t="s">
        <v>9</v>
      </c>
      <c r="B4" s="3" t="s">
        <v>15</v>
      </c>
      <c r="C4" s="3" t="s">
        <v>19</v>
      </c>
      <c r="D4" s="3" t="s">
        <v>20</v>
      </c>
      <c r="E4" s="3" t="s">
        <v>21</v>
      </c>
      <c r="F4" s="3" t="s">
        <v>22</v>
      </c>
      <c r="G4" s="3" t="s">
        <v>23</v>
      </c>
      <c r="H4" s="3" t="s">
        <v>24</v>
      </c>
      <c r="I4" s="3" t="s">
        <v>26</v>
      </c>
      <c r="J4" s="3" t="s">
        <v>16</v>
      </c>
      <c r="K4" s="3" t="s">
        <v>17</v>
      </c>
      <c r="L4" s="3" t="s">
        <v>29</v>
      </c>
    </row>
    <row r="5">
      <c r="A5" s="6" t="s">
        <v>34</v>
      </c>
      <c r="B5" s="8"/>
      <c r="C5" s="8"/>
      <c r="D5" s="8"/>
      <c r="E5" s="8"/>
      <c r="F5" s="8"/>
      <c r="G5" s="8"/>
      <c r="H5" s="8"/>
      <c r="I5" s="8"/>
      <c r="J5" s="8"/>
      <c r="K5" s="8"/>
      <c r="L5" s="8"/>
    </row>
    <row r="6">
      <c r="A6" s="4">
        <v>1.0</v>
      </c>
      <c r="B6" s="4" t="s">
        <v>54</v>
      </c>
      <c r="C6" s="4" t="s">
        <v>58</v>
      </c>
      <c r="D6" s="4" t="s">
        <v>60</v>
      </c>
      <c r="E6" s="4" t="s">
        <v>61</v>
      </c>
      <c r="F6" s="4" t="s">
        <v>62</v>
      </c>
      <c r="G6" s="4" t="s">
        <v>64</v>
      </c>
      <c r="H6" s="4" t="s">
        <v>65</v>
      </c>
      <c r="I6" s="4" t="s">
        <v>67</v>
      </c>
      <c r="J6" s="7" t="s">
        <v>41</v>
      </c>
      <c r="K6" s="13">
        <v>46313.0</v>
      </c>
      <c r="L6" s="5"/>
    </row>
    <row r="7">
      <c r="A7" s="4">
        <v>2.0</v>
      </c>
      <c r="B7" s="4" t="s">
        <v>87</v>
      </c>
      <c r="C7" s="4" t="s">
        <v>89</v>
      </c>
      <c r="D7" s="4" t="s">
        <v>91</v>
      </c>
      <c r="E7" s="4" t="s">
        <v>61</v>
      </c>
      <c r="F7" s="4" t="s">
        <v>94</v>
      </c>
      <c r="G7" s="4" t="s">
        <v>97</v>
      </c>
      <c r="H7" s="4" t="s">
        <v>99</v>
      </c>
      <c r="I7" s="4" t="s">
        <v>102</v>
      </c>
      <c r="J7" s="7" t="s">
        <v>41</v>
      </c>
      <c r="K7" s="13">
        <v>46313.0</v>
      </c>
      <c r="L7" s="5"/>
    </row>
    <row r="8">
      <c r="A8" s="6" t="s">
        <v>111</v>
      </c>
      <c r="B8" s="8"/>
      <c r="C8" s="8"/>
      <c r="D8" s="8"/>
      <c r="E8" s="8"/>
      <c r="F8" s="8"/>
      <c r="G8" s="8"/>
      <c r="H8" s="8"/>
      <c r="I8" s="8"/>
      <c r="J8" s="8"/>
      <c r="K8" s="8"/>
      <c r="L8" s="8"/>
    </row>
    <row r="9">
      <c r="A9" s="4">
        <v>3.0</v>
      </c>
      <c r="B9" s="4" t="s">
        <v>118</v>
      </c>
      <c r="C9" s="4" t="s">
        <v>119</v>
      </c>
      <c r="D9" s="4" t="s">
        <v>60</v>
      </c>
      <c r="E9" s="4" t="s">
        <v>61</v>
      </c>
      <c r="F9" s="4" t="s">
        <v>122</v>
      </c>
      <c r="G9" s="4" t="s">
        <v>123</v>
      </c>
      <c r="H9" s="4" t="s">
        <v>124</v>
      </c>
      <c r="I9" s="4" t="s">
        <v>125</v>
      </c>
      <c r="J9" s="7" t="s">
        <v>41</v>
      </c>
      <c r="K9" s="13">
        <v>46313.0</v>
      </c>
      <c r="L9" s="5"/>
    </row>
    <row r="10">
      <c r="A10" s="4">
        <v>4.0</v>
      </c>
      <c r="B10" s="4" t="s">
        <v>132</v>
      </c>
      <c r="C10" s="4" t="s">
        <v>133</v>
      </c>
      <c r="D10" s="4" t="s">
        <v>96</v>
      </c>
      <c r="E10" s="4" t="s">
        <v>61</v>
      </c>
      <c r="F10" s="4" t="s">
        <v>135</v>
      </c>
      <c r="G10" s="4" t="s">
        <v>123</v>
      </c>
      <c r="H10" s="4" t="s">
        <v>136</v>
      </c>
      <c r="I10" s="4" t="s">
        <v>138</v>
      </c>
      <c r="J10" s="7" t="s">
        <v>41</v>
      </c>
      <c r="K10" s="13">
        <v>46313.0</v>
      </c>
      <c r="L10" s="5"/>
    </row>
    <row r="11">
      <c r="A11" s="4">
        <v>5.0</v>
      </c>
      <c r="B11" s="4" t="s">
        <v>142</v>
      </c>
      <c r="C11" s="4" t="s">
        <v>143</v>
      </c>
      <c r="D11" s="4" t="s">
        <v>145</v>
      </c>
      <c r="E11" s="4" t="s">
        <v>61</v>
      </c>
      <c r="F11" s="4" t="s">
        <v>150</v>
      </c>
      <c r="G11" s="4" t="s">
        <v>123</v>
      </c>
      <c r="H11" s="4" t="s">
        <v>152</v>
      </c>
      <c r="I11" s="4" t="s">
        <v>153</v>
      </c>
      <c r="J11" s="7" t="s">
        <v>41</v>
      </c>
      <c r="K11" s="13">
        <v>46313.0</v>
      </c>
      <c r="L11" s="5"/>
    </row>
    <row r="12">
      <c r="A12" s="4">
        <v>6.0</v>
      </c>
      <c r="B12" s="4" t="s">
        <v>157</v>
      </c>
      <c r="C12" s="4" t="s">
        <v>159</v>
      </c>
      <c r="D12" s="4" t="s">
        <v>161</v>
      </c>
      <c r="E12" s="4" t="s">
        <v>61</v>
      </c>
      <c r="F12" s="4" t="s">
        <v>164</v>
      </c>
      <c r="G12" s="4" t="s">
        <v>167</v>
      </c>
      <c r="H12" s="4" t="s">
        <v>169</v>
      </c>
      <c r="I12" s="4" t="s">
        <v>170</v>
      </c>
      <c r="J12" s="7" t="s">
        <v>107</v>
      </c>
      <c r="K12" s="13">
        <v>46313.0</v>
      </c>
      <c r="L12" s="7" t="s">
        <v>173</v>
      </c>
    </row>
    <row r="13">
      <c r="A13" s="6" t="s">
        <v>175</v>
      </c>
      <c r="B13" s="8"/>
      <c r="C13" s="8"/>
      <c r="D13" s="8"/>
      <c r="E13" s="8"/>
      <c r="F13" s="8"/>
      <c r="G13" s="8"/>
      <c r="H13" s="8"/>
      <c r="I13" s="8"/>
      <c r="J13" s="8"/>
      <c r="K13" s="8"/>
      <c r="L13" s="8"/>
    </row>
    <row r="14">
      <c r="A14" s="4">
        <v>7.0</v>
      </c>
      <c r="B14" s="4" t="s">
        <v>182</v>
      </c>
      <c r="C14" s="4" t="s">
        <v>184</v>
      </c>
      <c r="D14" s="4" t="s">
        <v>60</v>
      </c>
      <c r="E14" s="4" t="s">
        <v>61</v>
      </c>
      <c r="F14" s="4" t="s">
        <v>187</v>
      </c>
      <c r="G14" s="4" t="s">
        <v>189</v>
      </c>
      <c r="H14" s="4" t="s">
        <v>193</v>
      </c>
      <c r="I14" s="4" t="s">
        <v>196</v>
      </c>
      <c r="J14" s="7" t="s">
        <v>41</v>
      </c>
      <c r="K14" s="13">
        <v>46313.0</v>
      </c>
      <c r="L14" s="5"/>
    </row>
    <row r="15">
      <c r="A15" s="4">
        <v>8.0</v>
      </c>
      <c r="B15" s="4" t="s">
        <v>203</v>
      </c>
      <c r="C15" s="4" t="s">
        <v>205</v>
      </c>
      <c r="D15" s="4" t="s">
        <v>96</v>
      </c>
      <c r="E15" s="4" t="s">
        <v>61</v>
      </c>
      <c r="F15" s="4" t="s">
        <v>208</v>
      </c>
      <c r="G15" s="4" t="s">
        <v>210</v>
      </c>
      <c r="H15" s="4" t="s">
        <v>212</v>
      </c>
      <c r="I15" s="4" t="s">
        <v>214</v>
      </c>
      <c r="J15" s="7" t="s">
        <v>41</v>
      </c>
      <c r="K15" s="13">
        <v>46313.0</v>
      </c>
      <c r="L15" s="5"/>
    </row>
    <row r="16">
      <c r="A16" s="4">
        <v>9.0</v>
      </c>
      <c r="B16" s="4" t="s">
        <v>221</v>
      </c>
      <c r="C16" s="4" t="s">
        <v>223</v>
      </c>
      <c r="D16" s="4" t="s">
        <v>91</v>
      </c>
      <c r="E16" s="4" t="s">
        <v>61</v>
      </c>
      <c r="F16" s="4" t="s">
        <v>228</v>
      </c>
      <c r="G16" s="4" t="s">
        <v>230</v>
      </c>
      <c r="H16" s="4" t="s">
        <v>232</v>
      </c>
      <c r="I16" s="4" t="s">
        <v>234</v>
      </c>
      <c r="J16" s="7" t="s">
        <v>41</v>
      </c>
      <c r="K16" s="13">
        <v>46313.0</v>
      </c>
      <c r="L16" s="5"/>
    </row>
    <row r="17">
      <c r="A17" s="4">
        <v>10.0</v>
      </c>
      <c r="B17" s="4" t="s">
        <v>243</v>
      </c>
      <c r="C17" s="4" t="s">
        <v>245</v>
      </c>
      <c r="D17" s="4" t="s">
        <v>219</v>
      </c>
      <c r="E17" s="4" t="s">
        <v>61</v>
      </c>
      <c r="F17" s="4" t="s">
        <v>249</v>
      </c>
      <c r="G17" s="4" t="s">
        <v>251</v>
      </c>
      <c r="H17" s="4" t="s">
        <v>254</v>
      </c>
      <c r="I17" s="4" t="s">
        <v>257</v>
      </c>
      <c r="J17" s="7" t="s">
        <v>41</v>
      </c>
      <c r="K17" s="13">
        <v>46313.0</v>
      </c>
      <c r="L17" s="5"/>
    </row>
    <row r="18">
      <c r="A18" s="4">
        <v>11.0</v>
      </c>
      <c r="B18" s="4" t="s">
        <v>263</v>
      </c>
      <c r="C18" s="4" t="s">
        <v>264</v>
      </c>
      <c r="D18" s="4" t="s">
        <v>145</v>
      </c>
      <c r="E18" s="4" t="s">
        <v>61</v>
      </c>
      <c r="F18" s="4" t="s">
        <v>266</v>
      </c>
      <c r="G18" s="4" t="s">
        <v>267</v>
      </c>
      <c r="H18" s="4" t="s">
        <v>268</v>
      </c>
      <c r="I18" s="4" t="s">
        <v>271</v>
      </c>
      <c r="J18" s="7" t="s">
        <v>41</v>
      </c>
      <c r="K18" s="13">
        <v>46313.0</v>
      </c>
      <c r="L18" s="5"/>
    </row>
    <row r="19">
      <c r="A19" s="4">
        <v>12.0</v>
      </c>
      <c r="B19" s="4" t="s">
        <v>276</v>
      </c>
      <c r="C19" s="4" t="s">
        <v>278</v>
      </c>
      <c r="D19" s="4" t="s">
        <v>280</v>
      </c>
      <c r="E19" s="4" t="s">
        <v>61</v>
      </c>
      <c r="F19" s="4" t="s">
        <v>208</v>
      </c>
      <c r="G19" s="4" t="s">
        <v>282</v>
      </c>
      <c r="H19" s="4" t="s">
        <v>283</v>
      </c>
      <c r="I19" s="4" t="s">
        <v>284</v>
      </c>
      <c r="J19" s="7" t="s">
        <v>41</v>
      </c>
      <c r="K19" s="13">
        <v>46313.0</v>
      </c>
      <c r="L19" s="5"/>
    </row>
    <row r="20">
      <c r="A20" s="4">
        <v>13.0</v>
      </c>
      <c r="B20" s="4" t="s">
        <v>287</v>
      </c>
      <c r="C20" s="4" t="s">
        <v>289</v>
      </c>
      <c r="D20" s="4" t="s">
        <v>290</v>
      </c>
      <c r="E20" s="4" t="s">
        <v>61</v>
      </c>
      <c r="F20" s="4" t="s">
        <v>291</v>
      </c>
      <c r="G20" s="4" t="s">
        <v>293</v>
      </c>
      <c r="H20" s="4" t="s">
        <v>295</v>
      </c>
      <c r="I20" s="4" t="s">
        <v>297</v>
      </c>
      <c r="J20" s="7" t="s">
        <v>41</v>
      </c>
      <c r="K20" s="13">
        <v>46313.0</v>
      </c>
      <c r="L20" s="5"/>
    </row>
    <row r="21" ht="15.75" customHeight="1">
      <c r="A21" s="6" t="s">
        <v>299</v>
      </c>
      <c r="B21" s="8"/>
      <c r="C21" s="8"/>
      <c r="D21" s="8"/>
      <c r="E21" s="8"/>
      <c r="F21" s="8"/>
      <c r="G21" s="8"/>
      <c r="H21" s="8"/>
      <c r="I21" s="8"/>
      <c r="J21" s="8"/>
      <c r="K21" s="8"/>
      <c r="L21" s="8"/>
    </row>
    <row r="22" ht="15.75" customHeight="1">
      <c r="A22" s="4">
        <v>14.0</v>
      </c>
      <c r="B22" s="4" t="s">
        <v>309</v>
      </c>
      <c r="C22" s="4" t="s">
        <v>311</v>
      </c>
      <c r="D22" s="4" t="s">
        <v>60</v>
      </c>
      <c r="E22" s="4" t="s">
        <v>61</v>
      </c>
      <c r="F22" s="4" t="s">
        <v>314</v>
      </c>
      <c r="G22" s="4" t="s">
        <v>315</v>
      </c>
      <c r="H22" s="4" t="s">
        <v>316</v>
      </c>
      <c r="I22" s="4" t="s">
        <v>318</v>
      </c>
      <c r="J22" s="7" t="s">
        <v>41</v>
      </c>
      <c r="K22" s="13">
        <v>46313.0</v>
      </c>
      <c r="L22" s="5"/>
    </row>
    <row r="23" ht="15.75" customHeight="1">
      <c r="A23" s="4">
        <v>15.0</v>
      </c>
      <c r="B23" s="4" t="s">
        <v>321</v>
      </c>
      <c r="C23" s="4" t="s">
        <v>322</v>
      </c>
      <c r="D23" s="4" t="s">
        <v>91</v>
      </c>
      <c r="E23" s="4" t="s">
        <v>61</v>
      </c>
      <c r="F23" s="4" t="s">
        <v>324</v>
      </c>
      <c r="G23" s="4" t="s">
        <v>326</v>
      </c>
      <c r="H23" s="4" t="s">
        <v>328</v>
      </c>
      <c r="I23" s="4" t="s">
        <v>330</v>
      </c>
      <c r="J23" s="7" t="s">
        <v>41</v>
      </c>
      <c r="K23" s="13">
        <v>46313.0</v>
      </c>
      <c r="L23" s="5"/>
    </row>
    <row r="24" ht="15.75" customHeight="1">
      <c r="A24" s="4">
        <v>16.0</v>
      </c>
      <c r="B24" s="4" t="s">
        <v>334</v>
      </c>
      <c r="C24" s="4" t="s">
        <v>335</v>
      </c>
      <c r="D24" s="4" t="s">
        <v>219</v>
      </c>
      <c r="E24" s="4" t="s">
        <v>61</v>
      </c>
      <c r="F24" s="4" t="s">
        <v>336</v>
      </c>
      <c r="G24" s="4" t="s">
        <v>337</v>
      </c>
      <c r="H24" s="4" t="s">
        <v>340</v>
      </c>
      <c r="I24" s="4" t="s">
        <v>342</v>
      </c>
      <c r="J24" s="7" t="s">
        <v>41</v>
      </c>
      <c r="K24" s="13">
        <v>46313.0</v>
      </c>
      <c r="L24" s="5"/>
    </row>
    <row r="25" ht="15.75" customHeight="1">
      <c r="A25" s="4">
        <v>17.0</v>
      </c>
      <c r="B25" s="4" t="s">
        <v>346</v>
      </c>
      <c r="C25" s="4" t="s">
        <v>348</v>
      </c>
      <c r="D25" s="4" t="s">
        <v>349</v>
      </c>
      <c r="E25" s="4" t="s">
        <v>61</v>
      </c>
      <c r="F25" s="4" t="s">
        <v>350</v>
      </c>
      <c r="G25" s="4" t="s">
        <v>351</v>
      </c>
      <c r="H25" s="4" t="s">
        <v>353</v>
      </c>
      <c r="I25" s="4" t="s">
        <v>356</v>
      </c>
      <c r="J25" s="7" t="s">
        <v>41</v>
      </c>
      <c r="K25" s="13">
        <v>46313.0</v>
      </c>
      <c r="L25" s="5"/>
    </row>
    <row r="26" ht="15.75" customHeight="1">
      <c r="A26" s="6" t="s">
        <v>360</v>
      </c>
      <c r="B26" s="8"/>
      <c r="C26" s="8"/>
      <c r="D26" s="8"/>
      <c r="E26" s="8"/>
      <c r="F26" s="8"/>
      <c r="G26" s="8"/>
      <c r="H26" s="8"/>
      <c r="I26" s="8"/>
      <c r="J26" s="8"/>
      <c r="K26" s="8"/>
      <c r="L26" s="8"/>
    </row>
    <row r="27" ht="15.75" customHeight="1">
      <c r="A27" s="4">
        <v>18.0</v>
      </c>
      <c r="B27" s="4" t="s">
        <v>365</v>
      </c>
      <c r="C27" s="4" t="s">
        <v>368</v>
      </c>
      <c r="D27" s="4" t="s">
        <v>288</v>
      </c>
      <c r="E27" s="4" t="s">
        <v>61</v>
      </c>
      <c r="F27" s="4" t="s">
        <v>371</v>
      </c>
      <c r="G27" s="4" t="s">
        <v>372</v>
      </c>
      <c r="H27" s="4" t="s">
        <v>374</v>
      </c>
      <c r="I27" s="4" t="s">
        <v>377</v>
      </c>
      <c r="J27" s="7" t="s">
        <v>41</v>
      </c>
      <c r="K27" s="13">
        <v>46313.0</v>
      </c>
      <c r="L27" s="5"/>
    </row>
    <row r="28" ht="15.75" customHeight="1">
      <c r="A28" s="4">
        <v>19.0</v>
      </c>
      <c r="B28" s="4" t="s">
        <v>382</v>
      </c>
      <c r="C28" s="4" t="s">
        <v>383</v>
      </c>
      <c r="D28" s="4" t="s">
        <v>91</v>
      </c>
      <c r="E28" s="4" t="s">
        <v>61</v>
      </c>
      <c r="F28" s="4" t="s">
        <v>385</v>
      </c>
      <c r="G28" s="4" t="s">
        <v>386</v>
      </c>
      <c r="H28" s="4" t="s">
        <v>387</v>
      </c>
      <c r="I28" s="4" t="s">
        <v>389</v>
      </c>
      <c r="J28" s="7" t="s">
        <v>41</v>
      </c>
      <c r="K28" s="13">
        <v>46313.0</v>
      </c>
      <c r="L28" s="5"/>
    </row>
    <row r="29" ht="15.75" customHeight="1">
      <c r="A29" s="4">
        <v>20.0</v>
      </c>
      <c r="B29" s="4" t="s">
        <v>391</v>
      </c>
      <c r="C29" s="4" t="s">
        <v>393</v>
      </c>
      <c r="D29" s="4" t="s">
        <v>219</v>
      </c>
      <c r="E29" s="4" t="s">
        <v>61</v>
      </c>
      <c r="F29" s="4" t="s">
        <v>394</v>
      </c>
      <c r="G29" s="4" t="s">
        <v>396</v>
      </c>
      <c r="H29" s="4" t="s">
        <v>398</v>
      </c>
      <c r="I29" s="4" t="s">
        <v>401</v>
      </c>
      <c r="J29" s="7" t="s">
        <v>41</v>
      </c>
      <c r="K29" s="13">
        <v>46313.0</v>
      </c>
      <c r="L29" s="5"/>
    </row>
    <row r="30" ht="15.75" customHeight="1">
      <c r="A30" s="6" t="s">
        <v>402</v>
      </c>
      <c r="B30" s="8"/>
      <c r="C30" s="8"/>
      <c r="D30" s="8"/>
      <c r="E30" s="8"/>
      <c r="F30" s="8"/>
      <c r="G30" s="8"/>
      <c r="H30" s="8"/>
      <c r="I30" s="8"/>
      <c r="J30" s="8"/>
      <c r="K30" s="8"/>
      <c r="L30" s="8"/>
    </row>
    <row r="31" ht="15.75" customHeight="1">
      <c r="A31" s="4">
        <v>21.0</v>
      </c>
      <c r="B31" s="4" t="s">
        <v>409</v>
      </c>
      <c r="C31" s="4" t="s">
        <v>410</v>
      </c>
      <c r="D31" s="4" t="s">
        <v>308</v>
      </c>
      <c r="E31" s="4" t="s">
        <v>61</v>
      </c>
      <c r="F31" s="4" t="s">
        <v>413</v>
      </c>
      <c r="G31" s="4" t="s">
        <v>416</v>
      </c>
      <c r="H31" s="4" t="s">
        <v>417</v>
      </c>
      <c r="I31" s="4" t="s">
        <v>421</v>
      </c>
      <c r="J31" s="7" t="s">
        <v>41</v>
      </c>
      <c r="K31" s="13">
        <v>46313.0</v>
      </c>
      <c r="L31" s="5"/>
    </row>
    <row r="32" ht="15.75" customHeight="1">
      <c r="A32" s="4">
        <v>22.0</v>
      </c>
      <c r="B32" s="4" t="s">
        <v>428</v>
      </c>
      <c r="C32" s="4" t="s">
        <v>430</v>
      </c>
      <c r="D32" s="4" t="s">
        <v>288</v>
      </c>
      <c r="E32" s="4" t="s">
        <v>61</v>
      </c>
      <c r="F32" s="4" t="s">
        <v>432</v>
      </c>
      <c r="G32" s="4" t="s">
        <v>433</v>
      </c>
      <c r="H32" s="4" t="s">
        <v>434</v>
      </c>
      <c r="I32" s="4" t="s">
        <v>435</v>
      </c>
      <c r="J32" s="7" t="s">
        <v>41</v>
      </c>
      <c r="K32" s="13">
        <v>46313.0</v>
      </c>
      <c r="L32" s="5"/>
    </row>
    <row r="33" ht="15.75" customHeight="1">
      <c r="A33" s="6" t="s">
        <v>437</v>
      </c>
      <c r="B33" s="8"/>
      <c r="C33" s="8"/>
      <c r="D33" s="8"/>
      <c r="E33" s="8"/>
      <c r="F33" s="8"/>
      <c r="G33" s="8"/>
      <c r="H33" s="8"/>
      <c r="I33" s="8"/>
      <c r="J33" s="8"/>
      <c r="K33" s="8"/>
      <c r="L33" s="8"/>
    </row>
    <row r="34" ht="15.75" customHeight="1">
      <c r="A34" s="4">
        <v>23.0</v>
      </c>
      <c r="B34" s="4" t="s">
        <v>443</v>
      </c>
      <c r="C34" s="4" t="s">
        <v>444</v>
      </c>
      <c r="D34" s="4" t="s">
        <v>60</v>
      </c>
      <c r="E34" s="4" t="s">
        <v>61</v>
      </c>
      <c r="F34" s="4" t="s">
        <v>446</v>
      </c>
      <c r="G34" s="4" t="s">
        <v>447</v>
      </c>
      <c r="H34" s="4" t="s">
        <v>449</v>
      </c>
      <c r="I34" s="4" t="s">
        <v>452</v>
      </c>
      <c r="J34" s="7" t="s">
        <v>41</v>
      </c>
      <c r="K34" s="13">
        <v>46313.0</v>
      </c>
      <c r="L34" s="5"/>
    </row>
    <row r="35" ht="15.75" customHeight="1">
      <c r="A35" s="6" t="s">
        <v>456</v>
      </c>
      <c r="B35" s="8"/>
      <c r="C35" s="8"/>
      <c r="D35" s="8"/>
      <c r="E35" s="8"/>
      <c r="F35" s="8"/>
      <c r="G35" s="8"/>
      <c r="H35" s="8"/>
      <c r="I35" s="8"/>
      <c r="J35" s="8"/>
      <c r="K35" s="8"/>
      <c r="L35" s="8"/>
    </row>
    <row r="36" ht="15.75" customHeight="1">
      <c r="A36" s="4">
        <v>24.0</v>
      </c>
      <c r="B36" s="4" t="s">
        <v>461</v>
      </c>
      <c r="C36" s="4" t="s">
        <v>462</v>
      </c>
      <c r="D36" s="4" t="s">
        <v>308</v>
      </c>
      <c r="E36" s="4" t="s">
        <v>61</v>
      </c>
      <c r="F36" s="4" t="s">
        <v>465</v>
      </c>
      <c r="G36" s="4" t="s">
        <v>466</v>
      </c>
      <c r="H36" s="4" t="s">
        <v>468</v>
      </c>
      <c r="I36" s="4" t="s">
        <v>469</v>
      </c>
      <c r="J36" s="7" t="s">
        <v>41</v>
      </c>
      <c r="K36" s="13">
        <v>46313.0</v>
      </c>
      <c r="L36" s="5"/>
    </row>
    <row r="37" ht="15.75" customHeight="1">
      <c r="A37" s="4">
        <v>25.0</v>
      </c>
      <c r="B37" s="4" t="s">
        <v>472</v>
      </c>
      <c r="C37" s="4" t="s">
        <v>473</v>
      </c>
      <c r="D37" s="4" t="s">
        <v>474</v>
      </c>
      <c r="E37" s="4" t="s">
        <v>61</v>
      </c>
      <c r="F37" s="4" t="s">
        <v>478</v>
      </c>
      <c r="G37" s="4" t="s">
        <v>479</v>
      </c>
      <c r="H37" s="4" t="s">
        <v>480</v>
      </c>
      <c r="I37" s="4" t="s">
        <v>483</v>
      </c>
      <c r="J37" s="7" t="s">
        <v>41</v>
      </c>
      <c r="K37" s="13">
        <v>46313.0</v>
      </c>
      <c r="L37" s="5"/>
    </row>
    <row r="38" ht="15.75" customHeight="1">
      <c r="A38" s="4">
        <v>26.0</v>
      </c>
      <c r="B38" s="4" t="s">
        <v>487</v>
      </c>
      <c r="C38" s="4" t="s">
        <v>488</v>
      </c>
      <c r="D38" s="4" t="s">
        <v>490</v>
      </c>
      <c r="E38" s="4" t="s">
        <v>61</v>
      </c>
      <c r="F38" s="4" t="s">
        <v>493</v>
      </c>
      <c r="G38" s="4" t="s">
        <v>496</v>
      </c>
      <c r="H38" s="4" t="s">
        <v>498</v>
      </c>
      <c r="I38" s="4" t="s">
        <v>501</v>
      </c>
      <c r="J38" s="7" t="s">
        <v>41</v>
      </c>
      <c r="K38" s="13">
        <v>46313.0</v>
      </c>
      <c r="L38" s="5"/>
    </row>
    <row r="39" ht="15.75" customHeight="1">
      <c r="A39" s="4">
        <v>27.0</v>
      </c>
      <c r="B39" s="4" t="s">
        <v>506</v>
      </c>
      <c r="C39" s="4" t="s">
        <v>507</v>
      </c>
      <c r="D39" s="4" t="s">
        <v>96</v>
      </c>
      <c r="E39" s="4" t="s">
        <v>61</v>
      </c>
      <c r="F39" s="4" t="s">
        <v>510</v>
      </c>
      <c r="G39" s="4" t="s">
        <v>512</v>
      </c>
      <c r="H39" s="4" t="s">
        <v>513</v>
      </c>
      <c r="I39" s="4" t="s">
        <v>514</v>
      </c>
      <c r="J39" s="7" t="s">
        <v>41</v>
      </c>
      <c r="K39" s="13">
        <v>46313.0</v>
      </c>
      <c r="L39" s="5"/>
    </row>
    <row r="40" ht="15.75" customHeight="1">
      <c r="A40" s="4">
        <v>28.0</v>
      </c>
      <c r="B40" s="4" t="s">
        <v>516</v>
      </c>
      <c r="C40" s="4" t="s">
        <v>517</v>
      </c>
      <c r="D40" s="4" t="s">
        <v>519</v>
      </c>
      <c r="E40" s="4" t="s">
        <v>61</v>
      </c>
      <c r="F40" s="4" t="s">
        <v>523</v>
      </c>
      <c r="G40" s="4" t="s">
        <v>526</v>
      </c>
      <c r="H40" s="4" t="s">
        <v>527</v>
      </c>
      <c r="I40" s="4" t="s">
        <v>529</v>
      </c>
      <c r="J40" s="7" t="s">
        <v>41</v>
      </c>
      <c r="K40" s="13">
        <v>46313.0</v>
      </c>
      <c r="L40" s="5"/>
    </row>
    <row r="41" ht="15.75" customHeight="1">
      <c r="A41" s="6" t="s">
        <v>533</v>
      </c>
      <c r="B41" s="8"/>
      <c r="C41" s="8"/>
      <c r="D41" s="8"/>
      <c r="E41" s="8"/>
      <c r="F41" s="8"/>
      <c r="G41" s="8"/>
      <c r="H41" s="8"/>
      <c r="I41" s="8"/>
      <c r="J41" s="8"/>
      <c r="K41" s="8"/>
      <c r="L41" s="8"/>
    </row>
    <row r="42" ht="15.75" customHeight="1">
      <c r="A42" s="4">
        <v>29.0</v>
      </c>
      <c r="B42" s="4" t="s">
        <v>539</v>
      </c>
      <c r="C42" s="4" t="s">
        <v>541</v>
      </c>
      <c r="D42" s="4" t="s">
        <v>60</v>
      </c>
      <c r="E42" s="4" t="s">
        <v>61</v>
      </c>
      <c r="F42" s="4" t="s">
        <v>544</v>
      </c>
      <c r="G42" s="4" t="s">
        <v>546</v>
      </c>
      <c r="H42" s="4" t="s">
        <v>548</v>
      </c>
      <c r="I42" s="4" t="s">
        <v>550</v>
      </c>
      <c r="J42" s="7" t="s">
        <v>41</v>
      </c>
      <c r="K42" s="13">
        <v>46313.0</v>
      </c>
      <c r="L42" s="5"/>
    </row>
    <row r="43" ht="15.75" customHeight="1">
      <c r="A43" s="4">
        <v>30.0</v>
      </c>
      <c r="B43" s="4" t="s">
        <v>553</v>
      </c>
      <c r="C43" s="4" t="s">
        <v>555</v>
      </c>
      <c r="D43" s="4" t="s">
        <v>96</v>
      </c>
      <c r="E43" s="4" t="s">
        <v>61</v>
      </c>
      <c r="F43" s="4" t="s">
        <v>556</v>
      </c>
      <c r="G43" s="4" t="s">
        <v>558</v>
      </c>
      <c r="H43" s="4" t="s">
        <v>559</v>
      </c>
      <c r="I43" s="4" t="s">
        <v>561</v>
      </c>
      <c r="J43" s="7" t="s">
        <v>41</v>
      </c>
      <c r="K43" s="13">
        <v>46313.0</v>
      </c>
      <c r="L43" s="5"/>
    </row>
    <row r="44" ht="15.75" customHeight="1">
      <c r="A44" s="4">
        <v>31.0</v>
      </c>
      <c r="B44" s="4" t="s">
        <v>565</v>
      </c>
      <c r="C44" s="4" t="s">
        <v>567</v>
      </c>
      <c r="D44" s="4" t="s">
        <v>569</v>
      </c>
      <c r="E44" s="4" t="s">
        <v>61</v>
      </c>
      <c r="F44" s="4" t="s">
        <v>556</v>
      </c>
      <c r="G44" s="4" t="s">
        <v>571</v>
      </c>
      <c r="H44" s="4" t="s">
        <v>572</v>
      </c>
      <c r="I44" s="4" t="s">
        <v>575</v>
      </c>
      <c r="J44" s="7" t="s">
        <v>41</v>
      </c>
      <c r="K44" s="13">
        <v>46313.0</v>
      </c>
      <c r="L44" s="5"/>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5:J44">
    <cfRule type="cellIs" dxfId="0" priority="1" operator="equal">
      <formula>"Pass"</formula>
    </cfRule>
  </conditionalFormatting>
  <conditionalFormatting sqref="J5:J44">
    <cfRule type="cellIs" dxfId="1" priority="2" operator="equal">
      <formula>"Fail"</formula>
    </cfRule>
  </conditionalFormatting>
  <conditionalFormatting sqref="J5:J44">
    <cfRule type="cellIs" dxfId="2" priority="3" operator="equal">
      <formula>"Changed by design"</formula>
    </cfRule>
  </conditionalFormatting>
  <conditionalFormatting sqref="J5:J44">
    <cfRule type="cellIs" dxfId="3" priority="4" operator="equal">
      <formula>"Blocked"</formula>
    </cfRule>
  </conditionalFormatting>
  <dataValidations>
    <dataValidation type="list" allowBlank="1" sqref="J5:J44">
      <formula1>"Pass,Fail,Changed by design,Blocked"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5.0"/>
    <col customWidth="1" min="3" max="3" width="34.0"/>
    <col customWidth="1" min="4" max="5" width="10.0"/>
    <col customWidth="1" min="6" max="6" width="46.0"/>
    <col customWidth="1" min="7" max="7" width="30.0"/>
    <col customWidth="1" min="8" max="8" width="58.0"/>
    <col customWidth="1" min="9" max="9" width="72.0"/>
    <col customWidth="1" min="10" max="10" width="18.0"/>
    <col customWidth="1" min="11" max="11" width="12.0"/>
    <col customWidth="1" min="12" max="12" width="34.0"/>
    <col customWidth="1" min="13" max="26" width="8.71"/>
  </cols>
  <sheetData>
    <row r="1">
      <c r="A1" s="1" t="s">
        <v>3</v>
      </c>
    </row>
    <row r="2">
      <c r="A2" s="2" t="s">
        <v>6</v>
      </c>
    </row>
    <row r="4">
      <c r="A4" s="3" t="s">
        <v>9</v>
      </c>
      <c r="B4" s="3" t="s">
        <v>15</v>
      </c>
      <c r="C4" s="3" t="s">
        <v>19</v>
      </c>
      <c r="D4" s="3" t="s">
        <v>20</v>
      </c>
      <c r="E4" s="3" t="s">
        <v>21</v>
      </c>
      <c r="F4" s="3" t="s">
        <v>22</v>
      </c>
      <c r="G4" s="3" t="s">
        <v>23</v>
      </c>
      <c r="H4" s="3" t="s">
        <v>24</v>
      </c>
      <c r="I4" s="3" t="s">
        <v>26</v>
      </c>
      <c r="J4" s="3" t="s">
        <v>16</v>
      </c>
      <c r="K4" s="3" t="s">
        <v>17</v>
      </c>
      <c r="L4" s="3" t="s">
        <v>29</v>
      </c>
    </row>
    <row r="5">
      <c r="A5" s="6" t="s">
        <v>36</v>
      </c>
      <c r="B5" s="8"/>
      <c r="C5" s="8"/>
      <c r="D5" s="8"/>
      <c r="E5" s="8"/>
      <c r="F5" s="8"/>
      <c r="G5" s="8"/>
      <c r="H5" s="8"/>
      <c r="I5" s="8"/>
      <c r="J5" s="8"/>
      <c r="K5" s="8"/>
      <c r="L5" s="8"/>
    </row>
    <row r="6">
      <c r="A6" s="4">
        <v>1.0</v>
      </c>
      <c r="B6" s="4" t="s">
        <v>52</v>
      </c>
      <c r="C6" s="4" t="s">
        <v>63</v>
      </c>
      <c r="D6" s="4" t="s">
        <v>60</v>
      </c>
      <c r="E6" s="4" t="s">
        <v>61</v>
      </c>
      <c r="F6" s="4" t="s">
        <v>70</v>
      </c>
      <c r="G6" s="4" t="s">
        <v>72</v>
      </c>
      <c r="H6" s="4" t="s">
        <v>73</v>
      </c>
      <c r="I6" s="4" t="s">
        <v>74</v>
      </c>
      <c r="J6" s="7" t="s">
        <v>41</v>
      </c>
      <c r="K6" s="14">
        <v>46313.0</v>
      </c>
      <c r="L6" s="5"/>
    </row>
    <row r="7">
      <c r="A7" s="4">
        <v>2.0</v>
      </c>
      <c r="B7" s="4" t="s">
        <v>93</v>
      </c>
      <c r="C7" s="4" t="s">
        <v>95</v>
      </c>
      <c r="D7" s="4" t="s">
        <v>96</v>
      </c>
      <c r="E7" s="4" t="s">
        <v>61</v>
      </c>
      <c r="F7" s="4" t="s">
        <v>70</v>
      </c>
      <c r="G7" s="4" t="s">
        <v>106</v>
      </c>
      <c r="H7" s="4" t="s">
        <v>109</v>
      </c>
      <c r="I7" s="4" t="s">
        <v>112</v>
      </c>
      <c r="J7" s="7" t="s">
        <v>41</v>
      </c>
      <c r="K7" s="14">
        <v>46313.0</v>
      </c>
      <c r="L7" s="5"/>
    </row>
    <row r="8">
      <c r="A8" s="4">
        <v>3.0</v>
      </c>
      <c r="B8" s="4" t="s">
        <v>120</v>
      </c>
      <c r="C8" s="4" t="s">
        <v>121</v>
      </c>
      <c r="D8" s="4" t="s">
        <v>91</v>
      </c>
      <c r="E8" s="4" t="s">
        <v>61</v>
      </c>
      <c r="F8" s="4" t="s">
        <v>126</v>
      </c>
      <c r="G8" s="4" t="s">
        <v>127</v>
      </c>
      <c r="H8" s="4" t="s">
        <v>129</v>
      </c>
      <c r="I8" s="4" t="s">
        <v>131</v>
      </c>
      <c r="J8" s="7" t="s">
        <v>41</v>
      </c>
      <c r="K8" s="14">
        <v>46313.0</v>
      </c>
      <c r="L8" s="5"/>
    </row>
    <row r="9">
      <c r="A9" s="4">
        <v>4.0</v>
      </c>
      <c r="B9" s="4" t="s">
        <v>137</v>
      </c>
      <c r="C9" s="4" t="s">
        <v>139</v>
      </c>
      <c r="D9" s="4" t="s">
        <v>140</v>
      </c>
      <c r="E9" s="4" t="s">
        <v>61</v>
      </c>
      <c r="F9" s="4" t="s">
        <v>141</v>
      </c>
      <c r="G9" s="4" t="s">
        <v>144</v>
      </c>
      <c r="H9" s="4" t="s">
        <v>147</v>
      </c>
      <c r="I9" s="4" t="s">
        <v>149</v>
      </c>
      <c r="J9" s="7" t="s">
        <v>41</v>
      </c>
      <c r="K9" s="14">
        <v>46313.0</v>
      </c>
      <c r="L9" s="5"/>
    </row>
    <row r="10">
      <c r="A10" s="4">
        <v>5.0</v>
      </c>
      <c r="B10" s="4" t="s">
        <v>154</v>
      </c>
      <c r="C10" s="4" t="s">
        <v>155</v>
      </c>
      <c r="D10" s="4" t="s">
        <v>156</v>
      </c>
      <c r="E10" s="4" t="s">
        <v>61</v>
      </c>
      <c r="F10" s="4" t="s">
        <v>158</v>
      </c>
      <c r="G10" s="4" t="s">
        <v>160</v>
      </c>
      <c r="H10" s="4" t="s">
        <v>163</v>
      </c>
      <c r="I10" s="4" t="s">
        <v>166</v>
      </c>
      <c r="J10" s="7" t="s">
        <v>41</v>
      </c>
      <c r="K10" s="14">
        <v>46313.0</v>
      </c>
      <c r="L10" s="5"/>
    </row>
    <row r="11">
      <c r="A11" s="4">
        <v>6.0</v>
      </c>
      <c r="B11" s="4" t="s">
        <v>171</v>
      </c>
      <c r="C11" s="4" t="s">
        <v>172</v>
      </c>
      <c r="D11" s="4" t="s">
        <v>161</v>
      </c>
      <c r="E11" s="4" t="s">
        <v>61</v>
      </c>
      <c r="F11" s="4" t="s">
        <v>174</v>
      </c>
      <c r="G11" s="4" t="s">
        <v>176</v>
      </c>
      <c r="H11" s="4" t="s">
        <v>177</v>
      </c>
      <c r="I11" s="4" t="s">
        <v>179</v>
      </c>
      <c r="J11" s="7" t="s">
        <v>41</v>
      </c>
      <c r="K11" s="14">
        <v>46313.0</v>
      </c>
      <c r="L11" s="5"/>
    </row>
    <row r="12">
      <c r="A12" s="6" t="s">
        <v>183</v>
      </c>
      <c r="B12" s="8"/>
      <c r="C12" s="8"/>
      <c r="D12" s="8"/>
      <c r="E12" s="8"/>
      <c r="F12" s="8"/>
      <c r="G12" s="8"/>
      <c r="H12" s="8"/>
      <c r="I12" s="8"/>
      <c r="J12" s="8"/>
      <c r="K12" s="8"/>
      <c r="L12" s="8"/>
    </row>
    <row r="13">
      <c r="A13" s="4">
        <v>7.0</v>
      </c>
      <c r="B13" s="4" t="s">
        <v>192</v>
      </c>
      <c r="C13" s="4" t="s">
        <v>195</v>
      </c>
      <c r="D13" s="4" t="s">
        <v>198</v>
      </c>
      <c r="E13" s="4" t="s">
        <v>61</v>
      </c>
      <c r="F13" s="4" t="s">
        <v>201</v>
      </c>
      <c r="G13" s="4" t="s">
        <v>204</v>
      </c>
      <c r="H13" s="4" t="s">
        <v>206</v>
      </c>
      <c r="I13" s="4" t="s">
        <v>207</v>
      </c>
      <c r="J13" s="7" t="s">
        <v>41</v>
      </c>
      <c r="K13" s="14">
        <v>46313.0</v>
      </c>
      <c r="L13" s="5"/>
    </row>
    <row r="14">
      <c r="A14" s="4">
        <v>8.0</v>
      </c>
      <c r="B14" s="4" t="s">
        <v>215</v>
      </c>
      <c r="C14" s="4" t="s">
        <v>218</v>
      </c>
      <c r="D14" s="4" t="s">
        <v>219</v>
      </c>
      <c r="E14" s="4" t="s">
        <v>61</v>
      </c>
      <c r="F14" s="4" t="s">
        <v>220</v>
      </c>
      <c r="G14" s="4" t="s">
        <v>222</v>
      </c>
      <c r="H14" s="4" t="s">
        <v>224</v>
      </c>
      <c r="I14" s="4" t="s">
        <v>226</v>
      </c>
      <c r="J14" s="7" t="s">
        <v>107</v>
      </c>
      <c r="K14" s="14">
        <v>46313.0</v>
      </c>
      <c r="L14" s="7" t="s">
        <v>233</v>
      </c>
    </row>
    <row r="15">
      <c r="A15" s="4">
        <v>9.0</v>
      </c>
      <c r="B15" s="4" t="s">
        <v>235</v>
      </c>
      <c r="C15" s="4" t="s">
        <v>236</v>
      </c>
      <c r="D15" s="4" t="s">
        <v>145</v>
      </c>
      <c r="E15" s="4" t="s">
        <v>61</v>
      </c>
      <c r="F15" s="4" t="s">
        <v>240</v>
      </c>
      <c r="G15" s="4" t="s">
        <v>242</v>
      </c>
      <c r="H15" s="4" t="s">
        <v>246</v>
      </c>
      <c r="I15" s="4" t="s">
        <v>247</v>
      </c>
      <c r="J15" s="7" t="s">
        <v>41</v>
      </c>
      <c r="K15" s="14">
        <v>46313.0</v>
      </c>
      <c r="L15" s="5"/>
    </row>
    <row r="16">
      <c r="A16" s="4">
        <v>10.0</v>
      </c>
      <c r="B16" s="4" t="s">
        <v>253</v>
      </c>
      <c r="C16" s="4" t="s">
        <v>256</v>
      </c>
      <c r="D16" s="4" t="s">
        <v>259</v>
      </c>
      <c r="E16" s="4" t="s">
        <v>61</v>
      </c>
      <c r="F16" s="4" t="s">
        <v>260</v>
      </c>
      <c r="G16" s="4" t="s">
        <v>261</v>
      </c>
      <c r="H16" s="4" t="s">
        <v>262</v>
      </c>
      <c r="I16" s="4" t="s">
        <v>265</v>
      </c>
      <c r="J16" s="7" t="s">
        <v>41</v>
      </c>
      <c r="K16" s="14">
        <v>46313.0</v>
      </c>
      <c r="L16" s="5"/>
    </row>
    <row r="17">
      <c r="A17" s="4">
        <v>11.0</v>
      </c>
      <c r="B17" s="4" t="s">
        <v>269</v>
      </c>
      <c r="C17" s="4" t="s">
        <v>270</v>
      </c>
      <c r="D17" s="4" t="s">
        <v>272</v>
      </c>
      <c r="E17" s="4" t="s">
        <v>61</v>
      </c>
      <c r="F17" s="4" t="s">
        <v>273</v>
      </c>
      <c r="G17" s="4" t="s">
        <v>274</v>
      </c>
      <c r="H17" s="4" t="s">
        <v>277</v>
      </c>
      <c r="I17" s="4" t="s">
        <v>279</v>
      </c>
      <c r="J17" s="7" t="s">
        <v>41</v>
      </c>
      <c r="K17" s="14">
        <v>46313.0</v>
      </c>
      <c r="L17" s="5"/>
    </row>
    <row r="18">
      <c r="A18" s="6" t="s">
        <v>281</v>
      </c>
      <c r="B18" s="8"/>
      <c r="C18" s="8"/>
      <c r="D18" s="8"/>
      <c r="E18" s="8"/>
      <c r="F18" s="8"/>
      <c r="G18" s="8"/>
      <c r="H18" s="8"/>
      <c r="I18" s="8"/>
      <c r="J18" s="8"/>
      <c r="K18" s="8"/>
      <c r="L18" s="8"/>
    </row>
    <row r="19">
      <c r="A19" s="4">
        <v>12.0</v>
      </c>
      <c r="B19" s="4" t="s">
        <v>285</v>
      </c>
      <c r="C19" s="4" t="s">
        <v>286</v>
      </c>
      <c r="D19" s="4" t="s">
        <v>288</v>
      </c>
      <c r="E19" s="4" t="s">
        <v>61</v>
      </c>
      <c r="F19" s="4" t="s">
        <v>292</v>
      </c>
      <c r="G19" s="4" t="s">
        <v>294</v>
      </c>
      <c r="H19" s="4" t="s">
        <v>296</v>
      </c>
      <c r="I19" s="4" t="s">
        <v>298</v>
      </c>
      <c r="J19" s="7" t="s">
        <v>41</v>
      </c>
      <c r="K19" s="14">
        <v>46313.0</v>
      </c>
      <c r="L19" s="5"/>
    </row>
    <row r="20">
      <c r="A20" s="4">
        <v>13.0</v>
      </c>
      <c r="B20" s="4" t="s">
        <v>300</v>
      </c>
      <c r="C20" s="4" t="s">
        <v>301</v>
      </c>
      <c r="D20" s="4" t="s">
        <v>219</v>
      </c>
      <c r="E20" s="4" t="s">
        <v>61</v>
      </c>
      <c r="F20" s="4" t="s">
        <v>302</v>
      </c>
      <c r="G20" s="4" t="s">
        <v>303</v>
      </c>
      <c r="H20" s="4" t="s">
        <v>304</v>
      </c>
      <c r="I20" s="4" t="s">
        <v>305</v>
      </c>
      <c r="J20" s="7" t="s">
        <v>41</v>
      </c>
      <c r="K20" s="14">
        <v>46313.0</v>
      </c>
      <c r="L20" s="5"/>
    </row>
    <row r="21" ht="15.75" customHeight="1">
      <c r="A21" s="4">
        <v>14.0</v>
      </c>
      <c r="B21" s="4" t="s">
        <v>306</v>
      </c>
      <c r="C21" s="4" t="s">
        <v>307</v>
      </c>
      <c r="D21" s="4" t="s">
        <v>308</v>
      </c>
      <c r="E21" s="4" t="s">
        <v>61</v>
      </c>
      <c r="F21" s="4" t="s">
        <v>310</v>
      </c>
      <c r="G21" s="4" t="s">
        <v>312</v>
      </c>
      <c r="H21" s="4" t="s">
        <v>313</v>
      </c>
      <c r="I21" s="4" t="s">
        <v>317</v>
      </c>
      <c r="J21" s="7" t="s">
        <v>41</v>
      </c>
      <c r="K21" s="14">
        <v>46313.0</v>
      </c>
      <c r="L21" s="5"/>
    </row>
    <row r="22" ht="15.75" customHeight="1">
      <c r="A22" s="6" t="s">
        <v>319</v>
      </c>
      <c r="B22" s="8"/>
      <c r="C22" s="8"/>
      <c r="D22" s="8"/>
      <c r="E22" s="8"/>
      <c r="F22" s="8"/>
      <c r="G22" s="8"/>
      <c r="H22" s="8"/>
      <c r="I22" s="8"/>
      <c r="J22" s="8"/>
      <c r="K22" s="8"/>
      <c r="L22" s="8"/>
    </row>
    <row r="23" ht="15.75" customHeight="1">
      <c r="A23" s="4">
        <v>15.0</v>
      </c>
      <c r="B23" s="4" t="s">
        <v>323</v>
      </c>
      <c r="C23" s="4" t="s">
        <v>325</v>
      </c>
      <c r="D23" s="4" t="s">
        <v>327</v>
      </c>
      <c r="E23" s="4" t="s">
        <v>61</v>
      </c>
      <c r="F23" s="4" t="s">
        <v>329</v>
      </c>
      <c r="G23" s="4" t="s">
        <v>331</v>
      </c>
      <c r="H23" s="4" t="s">
        <v>332</v>
      </c>
      <c r="I23" s="4" t="s">
        <v>333</v>
      </c>
      <c r="J23" s="7" t="s">
        <v>41</v>
      </c>
      <c r="K23" s="14">
        <v>46313.0</v>
      </c>
      <c r="L23" s="5"/>
    </row>
    <row r="24" ht="15.75" customHeight="1">
      <c r="A24" s="4">
        <v>16.0</v>
      </c>
      <c r="B24" s="4" t="s">
        <v>338</v>
      </c>
      <c r="C24" s="4" t="s">
        <v>339</v>
      </c>
      <c r="D24" s="4" t="s">
        <v>341</v>
      </c>
      <c r="E24" s="4" t="s">
        <v>61</v>
      </c>
      <c r="F24" s="4" t="s">
        <v>343</v>
      </c>
      <c r="G24" s="4" t="s">
        <v>344</v>
      </c>
      <c r="H24" s="4" t="s">
        <v>345</v>
      </c>
      <c r="I24" s="4" t="s">
        <v>347</v>
      </c>
      <c r="J24" s="7" t="s">
        <v>41</v>
      </c>
      <c r="K24" s="14">
        <v>46313.0</v>
      </c>
      <c r="L24" s="5"/>
    </row>
    <row r="25" ht="15.75" customHeight="1">
      <c r="A25" s="4">
        <v>17.0</v>
      </c>
      <c r="B25" s="4" t="s">
        <v>352</v>
      </c>
      <c r="C25" s="4" t="s">
        <v>354</v>
      </c>
      <c r="D25" s="4" t="s">
        <v>355</v>
      </c>
      <c r="E25" s="4" t="s">
        <v>61</v>
      </c>
      <c r="F25" s="4" t="s">
        <v>357</v>
      </c>
      <c r="G25" s="4" t="s">
        <v>358</v>
      </c>
      <c r="H25" s="4" t="s">
        <v>359</v>
      </c>
      <c r="I25" s="4" t="s">
        <v>361</v>
      </c>
      <c r="J25" s="7" t="s">
        <v>41</v>
      </c>
      <c r="K25" s="14">
        <v>46313.0</v>
      </c>
      <c r="L25" s="5"/>
    </row>
    <row r="26" ht="15.75" customHeight="1">
      <c r="A26" s="4">
        <v>18.0</v>
      </c>
      <c r="B26" s="4" t="s">
        <v>362</v>
      </c>
      <c r="C26" s="4" t="s">
        <v>363</v>
      </c>
      <c r="D26" s="4" t="s">
        <v>364</v>
      </c>
      <c r="E26" s="4" t="s">
        <v>61</v>
      </c>
      <c r="F26" s="4" t="s">
        <v>366</v>
      </c>
      <c r="G26" s="4" t="s">
        <v>367</v>
      </c>
      <c r="H26" s="4" t="s">
        <v>369</v>
      </c>
      <c r="I26" s="4" t="s">
        <v>370</v>
      </c>
      <c r="J26" s="7" t="s">
        <v>41</v>
      </c>
      <c r="K26" s="14">
        <v>46313.0</v>
      </c>
      <c r="L26" s="5"/>
    </row>
    <row r="27" ht="15.75" customHeight="1">
      <c r="A27" s="4">
        <v>19.0</v>
      </c>
      <c r="B27" s="4" t="s">
        <v>375</v>
      </c>
      <c r="C27" s="4" t="s">
        <v>376</v>
      </c>
      <c r="D27" s="4" t="s">
        <v>378</v>
      </c>
      <c r="E27" s="4" t="s">
        <v>61</v>
      </c>
      <c r="F27" s="4" t="s">
        <v>379</v>
      </c>
      <c r="G27" s="4" t="s">
        <v>380</v>
      </c>
      <c r="H27" s="4" t="s">
        <v>381</v>
      </c>
      <c r="I27" s="4" t="s">
        <v>384</v>
      </c>
      <c r="J27" s="7" t="s">
        <v>41</v>
      </c>
      <c r="K27" s="14">
        <v>46313.0</v>
      </c>
      <c r="L27" s="5"/>
    </row>
    <row r="28" ht="15.75" customHeight="1">
      <c r="A28" s="6" t="s">
        <v>388</v>
      </c>
      <c r="B28" s="8"/>
      <c r="C28" s="8"/>
      <c r="D28" s="8"/>
      <c r="E28" s="8"/>
      <c r="F28" s="8"/>
      <c r="G28" s="8"/>
      <c r="H28" s="8"/>
      <c r="I28" s="8"/>
      <c r="J28" s="8"/>
      <c r="K28" s="8"/>
      <c r="L28" s="8"/>
    </row>
    <row r="29" ht="15.75" customHeight="1">
      <c r="A29" s="4">
        <v>20.0</v>
      </c>
      <c r="B29" s="4" t="s">
        <v>390</v>
      </c>
      <c r="C29" s="4" t="s">
        <v>392</v>
      </c>
      <c r="D29" s="4" t="s">
        <v>349</v>
      </c>
      <c r="E29" s="4" t="s">
        <v>61</v>
      </c>
      <c r="F29" s="4" t="s">
        <v>395</v>
      </c>
      <c r="G29" s="4" t="s">
        <v>397</v>
      </c>
      <c r="H29" s="4" t="s">
        <v>399</v>
      </c>
      <c r="I29" s="4" t="s">
        <v>400</v>
      </c>
      <c r="J29" s="7" t="s">
        <v>41</v>
      </c>
      <c r="K29" s="14">
        <v>46313.0</v>
      </c>
      <c r="L29" s="5"/>
    </row>
    <row r="30" ht="15.75" customHeight="1">
      <c r="A30" s="4">
        <v>21.0</v>
      </c>
      <c r="B30" s="4" t="s">
        <v>403</v>
      </c>
      <c r="C30" s="4" t="s">
        <v>404</v>
      </c>
      <c r="D30" s="4" t="s">
        <v>161</v>
      </c>
      <c r="E30" s="4" t="s">
        <v>61</v>
      </c>
      <c r="F30" s="4" t="s">
        <v>405</v>
      </c>
      <c r="G30" s="4" t="s">
        <v>406</v>
      </c>
      <c r="H30" s="4" t="s">
        <v>407</v>
      </c>
      <c r="I30" s="4" t="s">
        <v>408</v>
      </c>
      <c r="J30" s="7" t="s">
        <v>41</v>
      </c>
      <c r="K30" s="14">
        <v>46313.0</v>
      </c>
      <c r="L30" s="5"/>
    </row>
    <row r="31" ht="15.75" customHeight="1">
      <c r="A31" s="4">
        <v>22.0</v>
      </c>
      <c r="B31" s="4" t="s">
        <v>412</v>
      </c>
      <c r="C31" s="4" t="s">
        <v>414</v>
      </c>
      <c r="D31" s="4" t="s">
        <v>415</v>
      </c>
      <c r="E31" s="4" t="s">
        <v>61</v>
      </c>
      <c r="F31" s="4" t="s">
        <v>418</v>
      </c>
      <c r="G31" s="4" t="s">
        <v>419</v>
      </c>
      <c r="H31" s="4" t="s">
        <v>420</v>
      </c>
      <c r="I31" s="4" t="s">
        <v>422</v>
      </c>
      <c r="J31" s="7" t="s">
        <v>41</v>
      </c>
      <c r="K31" s="14">
        <v>46313.0</v>
      </c>
      <c r="L31" s="5"/>
    </row>
    <row r="32" ht="15.75" customHeight="1">
      <c r="A32" s="4">
        <v>23.0</v>
      </c>
      <c r="B32" s="4" t="s">
        <v>423</v>
      </c>
      <c r="C32" s="4" t="s">
        <v>424</v>
      </c>
      <c r="D32" s="4" t="s">
        <v>425</v>
      </c>
      <c r="E32" s="4" t="s">
        <v>61</v>
      </c>
      <c r="F32" s="4" t="s">
        <v>426</v>
      </c>
      <c r="G32" s="4" t="s">
        <v>427</v>
      </c>
      <c r="H32" s="4" t="s">
        <v>429</v>
      </c>
      <c r="I32" s="4" t="s">
        <v>431</v>
      </c>
      <c r="J32" s="7" t="s">
        <v>41</v>
      </c>
      <c r="K32" s="14">
        <v>46313.0</v>
      </c>
      <c r="L32" s="5"/>
    </row>
    <row r="33" ht="15.75" customHeight="1">
      <c r="A33" s="6" t="s">
        <v>436</v>
      </c>
      <c r="B33" s="8"/>
      <c r="C33" s="8"/>
      <c r="D33" s="8"/>
      <c r="E33" s="8"/>
      <c r="F33" s="8"/>
      <c r="G33" s="8"/>
      <c r="H33" s="8"/>
      <c r="I33" s="8"/>
      <c r="J33" s="8"/>
      <c r="K33" s="8"/>
      <c r="L33" s="8"/>
    </row>
    <row r="34" ht="15.75" customHeight="1">
      <c r="A34" s="4">
        <v>24.0</v>
      </c>
      <c r="B34" s="4" t="s">
        <v>438</v>
      </c>
      <c r="C34" s="4" t="s">
        <v>439</v>
      </c>
      <c r="D34" s="4" t="s">
        <v>60</v>
      </c>
      <c r="E34" s="4" t="s">
        <v>61</v>
      </c>
      <c r="F34" s="4" t="s">
        <v>440</v>
      </c>
      <c r="G34" s="4" t="s">
        <v>441</v>
      </c>
      <c r="H34" s="4" t="s">
        <v>442</v>
      </c>
      <c r="I34" s="4" t="s">
        <v>445</v>
      </c>
      <c r="J34" s="7" t="s">
        <v>41</v>
      </c>
      <c r="K34" s="14">
        <v>46313.0</v>
      </c>
      <c r="L34" s="5"/>
    </row>
    <row r="35" ht="15.75" customHeight="1">
      <c r="A35" s="4">
        <v>25.0</v>
      </c>
      <c r="B35" s="4" t="s">
        <v>448</v>
      </c>
      <c r="C35" s="4" t="s">
        <v>450</v>
      </c>
      <c r="D35" s="4" t="s">
        <v>453</v>
      </c>
      <c r="E35" s="4" t="s">
        <v>61</v>
      </c>
      <c r="F35" s="4" t="s">
        <v>454</v>
      </c>
      <c r="G35" s="4" t="s">
        <v>455</v>
      </c>
      <c r="H35" s="4" t="s">
        <v>457</v>
      </c>
      <c r="I35" s="4" t="s">
        <v>458</v>
      </c>
      <c r="J35" s="7" t="s">
        <v>41</v>
      </c>
      <c r="K35" s="14">
        <v>46313.0</v>
      </c>
      <c r="L35" s="5"/>
    </row>
    <row r="36" ht="15.75" customHeight="1">
      <c r="A36" s="4">
        <v>26.0</v>
      </c>
      <c r="B36" s="4" t="s">
        <v>459</v>
      </c>
      <c r="C36" s="4" t="s">
        <v>460</v>
      </c>
      <c r="D36" s="4" t="s">
        <v>145</v>
      </c>
      <c r="E36" s="4" t="s">
        <v>61</v>
      </c>
      <c r="F36" s="4" t="s">
        <v>454</v>
      </c>
      <c r="G36" s="4" t="s">
        <v>463</v>
      </c>
      <c r="H36" s="4" t="s">
        <v>464</v>
      </c>
      <c r="I36" s="4" t="s">
        <v>467</v>
      </c>
      <c r="J36" s="7" t="s">
        <v>41</v>
      </c>
      <c r="K36" s="14">
        <v>46313.0</v>
      </c>
      <c r="L36" s="5"/>
    </row>
    <row r="37" ht="15.75" customHeight="1">
      <c r="A37" s="4">
        <v>27.0</v>
      </c>
      <c r="B37" s="4" t="s">
        <v>470</v>
      </c>
      <c r="C37" s="4" t="s">
        <v>471</v>
      </c>
      <c r="D37" s="4" t="s">
        <v>280</v>
      </c>
      <c r="E37" s="4" t="s">
        <v>61</v>
      </c>
      <c r="F37" s="4" t="s">
        <v>454</v>
      </c>
      <c r="G37" s="4" t="s">
        <v>475</v>
      </c>
      <c r="H37" s="4" t="s">
        <v>476</v>
      </c>
      <c r="I37" s="4" t="s">
        <v>477</v>
      </c>
      <c r="J37" s="7" t="s">
        <v>41</v>
      </c>
      <c r="K37" s="14">
        <v>46313.0</v>
      </c>
      <c r="L37" s="5"/>
    </row>
    <row r="38" ht="15.75" customHeight="1">
      <c r="A38" s="4">
        <v>28.0</v>
      </c>
      <c r="B38" s="4" t="s">
        <v>481</v>
      </c>
      <c r="C38" s="4" t="s">
        <v>482</v>
      </c>
      <c r="D38" s="4" t="s">
        <v>364</v>
      </c>
      <c r="E38" s="4" t="s">
        <v>61</v>
      </c>
      <c r="F38" s="4" t="s">
        <v>484</v>
      </c>
      <c r="G38" s="4" t="s">
        <v>485</v>
      </c>
      <c r="H38" s="4" t="s">
        <v>486</v>
      </c>
      <c r="I38" s="4" t="s">
        <v>489</v>
      </c>
      <c r="J38" s="7" t="s">
        <v>41</v>
      </c>
      <c r="K38" s="14">
        <v>46313.0</v>
      </c>
      <c r="L38" s="5"/>
    </row>
    <row r="39" ht="15.75" customHeight="1">
      <c r="A39" s="4">
        <v>29.0</v>
      </c>
      <c r="B39" s="4" t="s">
        <v>492</v>
      </c>
      <c r="C39" s="4" t="s">
        <v>494</v>
      </c>
      <c r="D39" s="4" t="s">
        <v>495</v>
      </c>
      <c r="E39" s="4" t="s">
        <v>61</v>
      </c>
      <c r="F39" s="4" t="s">
        <v>454</v>
      </c>
      <c r="G39" s="4" t="s">
        <v>497</v>
      </c>
      <c r="H39" s="4" t="s">
        <v>499</v>
      </c>
      <c r="I39" s="4" t="s">
        <v>500</v>
      </c>
      <c r="J39" s="7" t="s">
        <v>41</v>
      </c>
      <c r="K39" s="14">
        <v>46313.0</v>
      </c>
      <c r="L39" s="5"/>
    </row>
    <row r="40" ht="15.75" customHeight="1">
      <c r="A40" s="4">
        <v>30.0</v>
      </c>
      <c r="B40" s="4" t="s">
        <v>502</v>
      </c>
      <c r="C40" s="4" t="s">
        <v>503</v>
      </c>
      <c r="D40" s="4" t="s">
        <v>504</v>
      </c>
      <c r="E40" s="4" t="s">
        <v>61</v>
      </c>
      <c r="F40" s="4" t="s">
        <v>505</v>
      </c>
      <c r="G40" s="4" t="s">
        <v>508</v>
      </c>
      <c r="H40" s="4" t="s">
        <v>509</v>
      </c>
      <c r="I40" s="4" t="s">
        <v>511</v>
      </c>
      <c r="J40" s="7" t="s">
        <v>41</v>
      </c>
      <c r="K40" s="14">
        <v>46313.0</v>
      </c>
      <c r="L40" s="5"/>
    </row>
    <row r="41" ht="15.75" customHeight="1">
      <c r="A41" s="6" t="s">
        <v>515</v>
      </c>
      <c r="B41" s="8"/>
      <c r="C41" s="8"/>
      <c r="D41" s="8"/>
      <c r="E41" s="8"/>
      <c r="F41" s="8"/>
      <c r="G41" s="8"/>
      <c r="H41" s="8"/>
      <c r="I41" s="8"/>
      <c r="J41" s="8"/>
      <c r="K41" s="8"/>
      <c r="L41" s="8"/>
    </row>
    <row r="42" ht="15.75" customHeight="1">
      <c r="A42" s="4">
        <v>31.0</v>
      </c>
      <c r="B42" s="4" t="s">
        <v>518</v>
      </c>
      <c r="C42" s="4" t="s">
        <v>520</v>
      </c>
      <c r="D42" s="4" t="s">
        <v>60</v>
      </c>
      <c r="E42" s="4" t="s">
        <v>61</v>
      </c>
      <c r="F42" s="4" t="s">
        <v>522</v>
      </c>
      <c r="G42" s="4" t="s">
        <v>524</v>
      </c>
      <c r="H42" s="4" t="s">
        <v>525</v>
      </c>
      <c r="I42" s="4" t="s">
        <v>528</v>
      </c>
      <c r="J42" s="7" t="s">
        <v>41</v>
      </c>
      <c r="K42" s="14">
        <v>46313.0</v>
      </c>
      <c r="L42" s="5"/>
    </row>
    <row r="43" ht="15.75" customHeight="1">
      <c r="A43" s="4">
        <v>32.0</v>
      </c>
      <c r="B43" s="4" t="s">
        <v>530</v>
      </c>
      <c r="C43" s="4" t="s">
        <v>531</v>
      </c>
      <c r="D43" s="4" t="s">
        <v>532</v>
      </c>
      <c r="E43" s="4" t="s">
        <v>61</v>
      </c>
      <c r="F43" s="4" t="s">
        <v>534</v>
      </c>
      <c r="G43" s="4" t="s">
        <v>535</v>
      </c>
      <c r="H43" s="4" t="s">
        <v>537</v>
      </c>
      <c r="I43" s="4" t="s">
        <v>538</v>
      </c>
      <c r="J43" s="7" t="s">
        <v>41</v>
      </c>
      <c r="K43" s="14">
        <v>46313.0</v>
      </c>
      <c r="L43" s="5"/>
    </row>
    <row r="44" ht="15.75" customHeight="1">
      <c r="A44" s="4">
        <v>33.0</v>
      </c>
      <c r="B44" s="4" t="s">
        <v>540</v>
      </c>
      <c r="C44" s="4" t="s">
        <v>542</v>
      </c>
      <c r="D44" s="4" t="s">
        <v>161</v>
      </c>
      <c r="E44" s="4" t="s">
        <v>61</v>
      </c>
      <c r="F44" s="4" t="s">
        <v>545</v>
      </c>
      <c r="G44" s="4" t="s">
        <v>547</v>
      </c>
      <c r="H44" s="4" t="s">
        <v>549</v>
      </c>
      <c r="I44" s="4" t="s">
        <v>551</v>
      </c>
      <c r="J44" s="7" t="s">
        <v>41</v>
      </c>
      <c r="K44" s="14">
        <v>46313.0</v>
      </c>
      <c r="L44" s="5"/>
    </row>
    <row r="45" ht="15.75" customHeight="1">
      <c r="A45" s="6" t="s">
        <v>554</v>
      </c>
      <c r="B45" s="8"/>
      <c r="C45" s="8"/>
      <c r="D45" s="8"/>
      <c r="E45" s="8"/>
      <c r="F45" s="8"/>
      <c r="G45" s="8"/>
      <c r="H45" s="8"/>
      <c r="I45" s="8"/>
      <c r="J45" s="8"/>
      <c r="K45" s="8"/>
      <c r="L45" s="8"/>
    </row>
    <row r="46" ht="15.75" customHeight="1">
      <c r="A46" s="4">
        <v>34.0</v>
      </c>
      <c r="B46" s="4" t="s">
        <v>560</v>
      </c>
      <c r="C46" s="4" t="s">
        <v>562</v>
      </c>
      <c r="D46" s="4" t="s">
        <v>145</v>
      </c>
      <c r="E46" s="4" t="s">
        <v>61</v>
      </c>
      <c r="F46" s="4" t="s">
        <v>563</v>
      </c>
      <c r="G46" s="4" t="s">
        <v>564</v>
      </c>
      <c r="H46" s="4" t="s">
        <v>568</v>
      </c>
      <c r="I46" s="4" t="s">
        <v>570</v>
      </c>
      <c r="J46" s="7" t="s">
        <v>41</v>
      </c>
      <c r="K46" s="14">
        <v>46313.0</v>
      </c>
      <c r="L46" s="5"/>
    </row>
    <row r="47" ht="15.75" customHeight="1">
      <c r="A47" s="4">
        <v>35.0</v>
      </c>
      <c r="B47" s="4" t="s">
        <v>574</v>
      </c>
      <c r="C47" s="4" t="s">
        <v>576</v>
      </c>
      <c r="D47" s="4" t="s">
        <v>288</v>
      </c>
      <c r="E47" s="4" t="s">
        <v>61</v>
      </c>
      <c r="F47" s="4" t="s">
        <v>577</v>
      </c>
      <c r="G47" s="4" t="s">
        <v>578</v>
      </c>
      <c r="H47" s="4" t="s">
        <v>579</v>
      </c>
      <c r="I47" s="4" t="s">
        <v>581</v>
      </c>
      <c r="J47" s="7" t="s">
        <v>41</v>
      </c>
      <c r="K47" s="14">
        <v>46313.0</v>
      </c>
      <c r="L47" s="5"/>
    </row>
    <row r="48" ht="15.75" customHeight="1">
      <c r="A48" s="4">
        <v>36.0</v>
      </c>
      <c r="B48" s="4" t="s">
        <v>582</v>
      </c>
      <c r="C48" s="4" t="s">
        <v>583</v>
      </c>
      <c r="D48" s="4" t="s">
        <v>91</v>
      </c>
      <c r="E48" s="4" t="s">
        <v>61</v>
      </c>
      <c r="F48" s="4" t="s">
        <v>585</v>
      </c>
      <c r="G48" s="4" t="s">
        <v>578</v>
      </c>
      <c r="H48" s="4" t="s">
        <v>586</v>
      </c>
      <c r="I48" s="4" t="s">
        <v>587</v>
      </c>
      <c r="J48" s="7" t="s">
        <v>41</v>
      </c>
      <c r="K48" s="14">
        <v>46313.0</v>
      </c>
      <c r="L48" s="5"/>
    </row>
    <row r="49" ht="15.75" customHeight="1">
      <c r="A49" s="4">
        <v>37.0</v>
      </c>
      <c r="B49" s="4" t="s">
        <v>589</v>
      </c>
      <c r="C49" s="4" t="s">
        <v>590</v>
      </c>
      <c r="D49" s="4" t="s">
        <v>592</v>
      </c>
      <c r="E49" s="4" t="s">
        <v>61</v>
      </c>
      <c r="F49" s="4" t="s">
        <v>593</v>
      </c>
      <c r="G49" s="4" t="s">
        <v>595</v>
      </c>
      <c r="H49" s="4" t="s">
        <v>596</v>
      </c>
      <c r="I49" s="4" t="s">
        <v>598</v>
      </c>
      <c r="J49" s="7" t="s">
        <v>41</v>
      </c>
      <c r="K49" s="14">
        <v>46313.0</v>
      </c>
      <c r="L49" s="5"/>
    </row>
    <row r="50" ht="15.75" customHeight="1">
      <c r="A50" s="4">
        <v>38.0</v>
      </c>
      <c r="B50" s="4" t="s">
        <v>599</v>
      </c>
      <c r="C50" s="4" t="s">
        <v>600</v>
      </c>
      <c r="D50" s="4" t="s">
        <v>601</v>
      </c>
      <c r="E50" s="4" t="s">
        <v>61</v>
      </c>
      <c r="F50" s="4" t="s">
        <v>602</v>
      </c>
      <c r="G50" s="4" t="s">
        <v>603</v>
      </c>
      <c r="H50" s="4" t="s">
        <v>604</v>
      </c>
      <c r="I50" s="4" t="s">
        <v>605</v>
      </c>
      <c r="J50" s="7" t="s">
        <v>41</v>
      </c>
      <c r="K50" s="14">
        <v>46313.0</v>
      </c>
      <c r="L50" s="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5:J50">
    <cfRule type="cellIs" dxfId="0" priority="1" operator="equal">
      <formula>"Pass"</formula>
    </cfRule>
  </conditionalFormatting>
  <conditionalFormatting sqref="J5:J50">
    <cfRule type="cellIs" dxfId="1" priority="2" operator="equal">
      <formula>"Fail"</formula>
    </cfRule>
  </conditionalFormatting>
  <conditionalFormatting sqref="J5:J50">
    <cfRule type="cellIs" dxfId="2" priority="3" operator="equal">
      <formula>"Changed by design"</formula>
    </cfRule>
  </conditionalFormatting>
  <conditionalFormatting sqref="J5:J50">
    <cfRule type="cellIs" dxfId="3" priority="4" operator="equal">
      <formula>"Blocked"</formula>
    </cfRule>
  </conditionalFormatting>
  <dataValidations>
    <dataValidation type="list" allowBlank="1" sqref="J5:J50">
      <formula1>"Pass,Fail,Changed by design,Blocked"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5.0"/>
    <col customWidth="1" min="3" max="3" width="34.0"/>
    <col customWidth="1" min="4" max="5" width="10.0"/>
    <col customWidth="1" min="6" max="6" width="46.0"/>
    <col customWidth="1" min="7" max="7" width="30.0"/>
    <col customWidth="1" min="8" max="8" width="58.0"/>
    <col customWidth="1" min="9" max="9" width="72.0"/>
    <col customWidth="1" min="10" max="10" width="63.0"/>
    <col customWidth="1" min="11" max="11" width="18.43"/>
    <col customWidth="1" min="12" max="12" width="34.0"/>
    <col customWidth="1" min="13" max="26" width="8.71"/>
  </cols>
  <sheetData>
    <row r="1">
      <c r="A1" s="1" t="s">
        <v>606</v>
      </c>
    </row>
    <row r="2">
      <c r="A2" s="2" t="s">
        <v>6</v>
      </c>
    </row>
    <row r="4">
      <c r="A4" s="3" t="s">
        <v>9</v>
      </c>
      <c r="B4" s="3" t="s">
        <v>15</v>
      </c>
      <c r="C4" s="3" t="s">
        <v>19</v>
      </c>
      <c r="D4" s="3" t="s">
        <v>20</v>
      </c>
      <c r="E4" s="3" t="s">
        <v>21</v>
      </c>
      <c r="F4" s="3" t="s">
        <v>22</v>
      </c>
      <c r="G4" s="3" t="s">
        <v>23</v>
      </c>
      <c r="H4" s="3" t="s">
        <v>24</v>
      </c>
      <c r="I4" s="3" t="s">
        <v>26</v>
      </c>
      <c r="J4" s="3" t="s">
        <v>16</v>
      </c>
      <c r="K4" s="3" t="s">
        <v>17</v>
      </c>
      <c r="L4" s="3" t="s">
        <v>29</v>
      </c>
    </row>
    <row r="5">
      <c r="A5" s="6" t="s">
        <v>607</v>
      </c>
      <c r="B5" s="8"/>
      <c r="C5" s="8"/>
      <c r="D5" s="8"/>
      <c r="E5" s="8"/>
      <c r="F5" s="8"/>
      <c r="G5" s="8"/>
      <c r="H5" s="8"/>
      <c r="I5" s="8"/>
      <c r="J5" s="8"/>
      <c r="K5" s="8"/>
      <c r="L5" s="8"/>
    </row>
    <row r="6" ht="54.0" customHeight="1">
      <c r="A6" s="4">
        <v>1.0</v>
      </c>
      <c r="B6" s="4" t="s">
        <v>608</v>
      </c>
      <c r="C6" s="4" t="s">
        <v>609</v>
      </c>
      <c r="D6" s="4" t="s">
        <v>60</v>
      </c>
      <c r="E6" s="4" t="s">
        <v>61</v>
      </c>
      <c r="F6" s="4" t="s">
        <v>610</v>
      </c>
      <c r="G6" s="4" t="s">
        <v>611</v>
      </c>
      <c r="H6" s="4" t="s">
        <v>612</v>
      </c>
      <c r="I6" s="4" t="s">
        <v>613</v>
      </c>
      <c r="J6" s="16" t="s">
        <v>41</v>
      </c>
      <c r="K6" s="13">
        <v>46312.0</v>
      </c>
      <c r="L6" s="5"/>
    </row>
    <row r="7">
      <c r="A7" s="4">
        <v>2.0</v>
      </c>
      <c r="B7" s="4" t="s">
        <v>614</v>
      </c>
      <c r="C7" s="4" t="s">
        <v>615</v>
      </c>
      <c r="D7" s="4" t="s">
        <v>96</v>
      </c>
      <c r="E7" s="4" t="s">
        <v>61</v>
      </c>
      <c r="F7" s="4" t="s">
        <v>616</v>
      </c>
      <c r="G7" s="4" t="s">
        <v>617</v>
      </c>
      <c r="H7" s="4" t="s">
        <v>618</v>
      </c>
      <c r="I7" s="17" t="s">
        <v>619</v>
      </c>
      <c r="J7" s="16" t="s">
        <v>41</v>
      </c>
      <c r="K7" s="13">
        <v>46312.0</v>
      </c>
      <c r="L7" s="5"/>
    </row>
    <row r="8">
      <c r="A8" s="4">
        <v>3.0</v>
      </c>
      <c r="B8" s="4" t="s">
        <v>620</v>
      </c>
      <c r="C8" s="4" t="s">
        <v>621</v>
      </c>
      <c r="D8" s="4" t="s">
        <v>91</v>
      </c>
      <c r="E8" s="4" t="s">
        <v>61</v>
      </c>
      <c r="F8" s="4" t="s">
        <v>622</v>
      </c>
      <c r="G8" s="4" t="s">
        <v>623</v>
      </c>
      <c r="H8" s="4" t="s">
        <v>624</v>
      </c>
      <c r="I8" s="4" t="s">
        <v>625</v>
      </c>
      <c r="J8" s="16" t="s">
        <v>41</v>
      </c>
      <c r="K8" s="13">
        <v>46312.0</v>
      </c>
      <c r="L8" s="5"/>
    </row>
    <row r="9">
      <c r="A9" s="4">
        <v>4.0</v>
      </c>
      <c r="B9" s="4" t="s">
        <v>626</v>
      </c>
      <c r="C9" s="4" t="s">
        <v>627</v>
      </c>
      <c r="D9" s="4" t="s">
        <v>219</v>
      </c>
      <c r="E9" s="4" t="s">
        <v>61</v>
      </c>
      <c r="F9" s="4" t="s">
        <v>628</v>
      </c>
      <c r="G9" s="4" t="s">
        <v>629</v>
      </c>
      <c r="H9" s="4" t="s">
        <v>630</v>
      </c>
      <c r="I9" s="4" t="s">
        <v>631</v>
      </c>
      <c r="J9" s="16" t="s">
        <v>41</v>
      </c>
      <c r="K9" s="13">
        <v>46312.0</v>
      </c>
      <c r="L9" s="7" t="s">
        <v>632</v>
      </c>
    </row>
    <row r="10">
      <c r="A10" s="4">
        <v>5.0</v>
      </c>
      <c r="B10" s="4" t="s">
        <v>633</v>
      </c>
      <c r="C10" s="4" t="s">
        <v>634</v>
      </c>
      <c r="D10" s="4" t="s">
        <v>145</v>
      </c>
      <c r="E10" s="4" t="s">
        <v>61</v>
      </c>
      <c r="F10" s="4" t="s">
        <v>635</v>
      </c>
      <c r="G10" s="4" t="s">
        <v>636</v>
      </c>
      <c r="H10" s="4" t="s">
        <v>637</v>
      </c>
      <c r="I10" s="4" t="s">
        <v>638</v>
      </c>
      <c r="J10" s="16" t="s">
        <v>41</v>
      </c>
      <c r="K10" s="13">
        <v>46312.0</v>
      </c>
      <c r="L10" s="5"/>
    </row>
    <row r="11">
      <c r="A11" s="4">
        <v>6.0</v>
      </c>
      <c r="B11" s="4" t="s">
        <v>639</v>
      </c>
      <c r="C11" s="4" t="s">
        <v>640</v>
      </c>
      <c r="D11" s="4" t="s">
        <v>161</v>
      </c>
      <c r="E11" s="4" t="s">
        <v>61</v>
      </c>
      <c r="F11" s="4" t="s">
        <v>641</v>
      </c>
      <c r="G11" s="4" t="s">
        <v>642</v>
      </c>
      <c r="H11" s="4" t="s">
        <v>643</v>
      </c>
      <c r="I11" s="4" t="s">
        <v>644</v>
      </c>
      <c r="J11" s="16" t="s">
        <v>41</v>
      </c>
      <c r="K11" s="13">
        <v>46312.0</v>
      </c>
      <c r="L11" s="5"/>
    </row>
    <row r="12">
      <c r="A12" s="4">
        <v>7.0</v>
      </c>
      <c r="B12" s="4" t="s">
        <v>645</v>
      </c>
      <c r="C12" s="4" t="s">
        <v>646</v>
      </c>
      <c r="D12" s="4" t="s">
        <v>280</v>
      </c>
      <c r="E12" s="4" t="s">
        <v>61</v>
      </c>
      <c r="F12" s="4" t="s">
        <v>647</v>
      </c>
      <c r="G12" s="4" t="s">
        <v>648</v>
      </c>
      <c r="H12" s="4" t="s">
        <v>649</v>
      </c>
      <c r="I12" s="4" t="s">
        <v>650</v>
      </c>
      <c r="J12" s="16" t="s">
        <v>41</v>
      </c>
      <c r="K12" s="13">
        <v>46312.0</v>
      </c>
      <c r="L12" s="5"/>
    </row>
    <row r="13">
      <c r="A13" s="6" t="s">
        <v>651</v>
      </c>
      <c r="B13" s="8"/>
      <c r="C13" s="8"/>
      <c r="D13" s="8"/>
      <c r="E13" s="8"/>
      <c r="F13" s="8"/>
      <c r="G13" s="8"/>
      <c r="H13" s="8"/>
      <c r="I13" s="8"/>
      <c r="J13" s="8"/>
      <c r="K13" s="8"/>
      <c r="L13" s="8"/>
    </row>
    <row r="14">
      <c r="A14" s="4">
        <v>8.0</v>
      </c>
      <c r="B14" s="4" t="s">
        <v>652</v>
      </c>
      <c r="C14" s="4" t="s">
        <v>653</v>
      </c>
      <c r="D14" s="4" t="s">
        <v>654</v>
      </c>
      <c r="E14" s="4" t="s">
        <v>61</v>
      </c>
      <c r="F14" s="4" t="s">
        <v>655</v>
      </c>
      <c r="G14" s="4" t="s">
        <v>656</v>
      </c>
      <c r="H14" s="4" t="s">
        <v>657</v>
      </c>
      <c r="I14" s="4" t="s">
        <v>658</v>
      </c>
      <c r="J14" s="16" t="s">
        <v>41</v>
      </c>
      <c r="K14" s="13">
        <v>46312.0</v>
      </c>
      <c r="L14" s="5"/>
    </row>
    <row r="15">
      <c r="A15" s="6" t="s">
        <v>659</v>
      </c>
      <c r="B15" s="8"/>
      <c r="C15" s="8"/>
      <c r="D15" s="8"/>
      <c r="E15" s="8"/>
      <c r="F15" s="8"/>
      <c r="G15" s="8"/>
      <c r="H15" s="8"/>
      <c r="I15" s="8"/>
      <c r="J15" s="8"/>
      <c r="K15" s="8"/>
      <c r="L15" s="8"/>
    </row>
    <row r="16">
      <c r="A16" s="4">
        <v>9.0</v>
      </c>
      <c r="B16" s="4" t="s">
        <v>660</v>
      </c>
      <c r="C16" s="4" t="s">
        <v>661</v>
      </c>
      <c r="D16" s="4" t="s">
        <v>662</v>
      </c>
      <c r="E16" s="4" t="s">
        <v>61</v>
      </c>
      <c r="F16" s="4" t="s">
        <v>663</v>
      </c>
      <c r="G16" s="4" t="s">
        <v>664</v>
      </c>
      <c r="H16" s="4" t="s">
        <v>665</v>
      </c>
      <c r="I16" s="4" t="s">
        <v>666</v>
      </c>
      <c r="J16" s="16" t="s">
        <v>41</v>
      </c>
      <c r="K16" s="13">
        <v>46312.0</v>
      </c>
      <c r="L16" s="5"/>
    </row>
    <row r="17">
      <c r="A17" s="4">
        <v>10.0</v>
      </c>
      <c r="B17" s="4" t="s">
        <v>667</v>
      </c>
      <c r="C17" s="4" t="s">
        <v>668</v>
      </c>
      <c r="D17" s="4" t="s">
        <v>96</v>
      </c>
      <c r="E17" s="4" t="s">
        <v>61</v>
      </c>
      <c r="F17" s="4" t="s">
        <v>669</v>
      </c>
      <c r="G17" s="4" t="s">
        <v>670</v>
      </c>
      <c r="H17" s="4" t="s">
        <v>671</v>
      </c>
      <c r="I17" s="4" t="s">
        <v>672</v>
      </c>
      <c r="J17" s="16" t="s">
        <v>41</v>
      </c>
      <c r="K17" s="13">
        <v>46312.0</v>
      </c>
      <c r="L17" s="5"/>
    </row>
    <row r="18">
      <c r="A18" s="4">
        <v>11.0</v>
      </c>
      <c r="B18" s="4" t="s">
        <v>673</v>
      </c>
      <c r="C18" s="4" t="s">
        <v>674</v>
      </c>
      <c r="D18" s="4" t="s">
        <v>91</v>
      </c>
      <c r="E18" s="4" t="s">
        <v>61</v>
      </c>
      <c r="F18" s="4" t="s">
        <v>675</v>
      </c>
      <c r="G18" s="4" t="s">
        <v>676</v>
      </c>
      <c r="H18" s="4" t="s">
        <v>677</v>
      </c>
      <c r="I18" s="4" t="s">
        <v>678</v>
      </c>
      <c r="J18" s="16" t="s">
        <v>41</v>
      </c>
      <c r="K18" s="13">
        <v>46312.0</v>
      </c>
      <c r="L18" s="5"/>
    </row>
    <row r="19">
      <c r="A19" s="6" t="s">
        <v>679</v>
      </c>
      <c r="B19" s="8"/>
      <c r="C19" s="8"/>
      <c r="D19" s="8"/>
      <c r="E19" s="8"/>
      <c r="F19" s="8"/>
      <c r="G19" s="8"/>
      <c r="H19" s="8"/>
      <c r="I19" s="8"/>
      <c r="J19" s="8"/>
      <c r="K19" s="8"/>
      <c r="L19" s="8"/>
    </row>
    <row r="20">
      <c r="A20" s="4">
        <v>12.0</v>
      </c>
      <c r="B20" s="4" t="s">
        <v>680</v>
      </c>
      <c r="C20" s="4" t="s">
        <v>681</v>
      </c>
      <c r="D20" s="4" t="s">
        <v>682</v>
      </c>
      <c r="E20" s="4" t="s">
        <v>61</v>
      </c>
      <c r="F20" s="4" t="s">
        <v>683</v>
      </c>
      <c r="G20" s="4" t="s">
        <v>684</v>
      </c>
      <c r="H20" s="4" t="s">
        <v>685</v>
      </c>
      <c r="I20" s="4" t="s">
        <v>686</v>
      </c>
      <c r="J20" s="16" t="s">
        <v>41</v>
      </c>
      <c r="K20" s="13">
        <v>46312.0</v>
      </c>
      <c r="L20" s="5"/>
    </row>
    <row r="21" ht="15.75" customHeight="1">
      <c r="A21" s="4">
        <v>13.0</v>
      </c>
      <c r="B21" s="4" t="s">
        <v>687</v>
      </c>
      <c r="C21" s="4" t="s">
        <v>688</v>
      </c>
      <c r="D21" s="4" t="s">
        <v>161</v>
      </c>
      <c r="E21" s="4" t="s">
        <v>61</v>
      </c>
      <c r="F21" s="4" t="s">
        <v>689</v>
      </c>
      <c r="G21" s="4" t="s">
        <v>690</v>
      </c>
      <c r="H21" s="4" t="s">
        <v>691</v>
      </c>
      <c r="I21" s="4" t="s">
        <v>692</v>
      </c>
      <c r="J21" s="16" t="s">
        <v>41</v>
      </c>
      <c r="K21" s="13">
        <v>46312.0</v>
      </c>
      <c r="L21" s="5"/>
    </row>
    <row r="22" ht="15.75" customHeight="1">
      <c r="A22" s="4">
        <v>14.0</v>
      </c>
      <c r="B22" s="4" t="s">
        <v>693</v>
      </c>
      <c r="C22" s="4" t="s">
        <v>694</v>
      </c>
      <c r="D22" s="4" t="s">
        <v>156</v>
      </c>
      <c r="E22" s="4" t="s">
        <v>61</v>
      </c>
      <c r="F22" s="4" t="s">
        <v>695</v>
      </c>
      <c r="G22" s="4" t="s">
        <v>696</v>
      </c>
      <c r="H22" s="4" t="s">
        <v>697</v>
      </c>
      <c r="I22" s="4" t="s">
        <v>698</v>
      </c>
      <c r="J22" s="16" t="s">
        <v>41</v>
      </c>
      <c r="K22" s="13">
        <v>46312.0</v>
      </c>
      <c r="L22" s="5"/>
    </row>
    <row r="23" ht="15.75" customHeight="1">
      <c r="A23" s="4">
        <v>15.0</v>
      </c>
      <c r="B23" s="4" t="s">
        <v>699</v>
      </c>
      <c r="C23" s="4" t="s">
        <v>700</v>
      </c>
      <c r="D23" s="4" t="s">
        <v>219</v>
      </c>
      <c r="E23" s="4" t="s">
        <v>61</v>
      </c>
      <c r="F23" s="4" t="s">
        <v>701</v>
      </c>
      <c r="G23" s="4" t="s">
        <v>702</v>
      </c>
      <c r="H23" s="4" t="s">
        <v>703</v>
      </c>
      <c r="I23" s="4" t="s">
        <v>704</v>
      </c>
      <c r="J23" s="16" t="s">
        <v>41</v>
      </c>
      <c r="K23" s="13">
        <v>46312.0</v>
      </c>
      <c r="L23" s="5"/>
    </row>
    <row r="24" ht="15.75" customHeight="1">
      <c r="A24" s="6" t="s">
        <v>705</v>
      </c>
      <c r="B24" s="8"/>
      <c r="C24" s="8"/>
      <c r="D24" s="8"/>
      <c r="E24" s="8"/>
      <c r="F24" s="8"/>
      <c r="G24" s="8"/>
      <c r="H24" s="8"/>
      <c r="I24" s="8"/>
      <c r="J24" s="8"/>
      <c r="K24" s="8"/>
      <c r="L24" s="8"/>
    </row>
    <row r="25" ht="15.75" customHeight="1">
      <c r="A25" s="4">
        <v>16.0</v>
      </c>
      <c r="B25" s="4" t="s">
        <v>706</v>
      </c>
      <c r="C25" s="4" t="s">
        <v>707</v>
      </c>
      <c r="D25" s="4" t="s">
        <v>288</v>
      </c>
      <c r="E25" s="4" t="s">
        <v>61</v>
      </c>
      <c r="F25" s="4" t="s">
        <v>708</v>
      </c>
      <c r="G25" s="4" t="s">
        <v>709</v>
      </c>
      <c r="H25" s="4" t="s">
        <v>710</v>
      </c>
      <c r="I25" s="4" t="s">
        <v>711</v>
      </c>
      <c r="J25" s="16" t="s">
        <v>41</v>
      </c>
      <c r="K25" s="13">
        <v>46312.0</v>
      </c>
      <c r="L25" s="5"/>
    </row>
    <row r="26" ht="15.75" customHeight="1">
      <c r="A26" s="4">
        <v>17.0</v>
      </c>
      <c r="B26" s="4" t="s">
        <v>712</v>
      </c>
      <c r="C26" s="4" t="s">
        <v>713</v>
      </c>
      <c r="D26" s="4" t="s">
        <v>145</v>
      </c>
      <c r="E26" s="4" t="s">
        <v>61</v>
      </c>
      <c r="F26" s="4" t="s">
        <v>714</v>
      </c>
      <c r="G26" s="4" t="s">
        <v>715</v>
      </c>
      <c r="H26" s="4" t="s">
        <v>716</v>
      </c>
      <c r="I26" s="4" t="s">
        <v>717</v>
      </c>
      <c r="J26" s="16" t="s">
        <v>41</v>
      </c>
      <c r="K26" s="13">
        <v>46312.0</v>
      </c>
      <c r="L26" s="5"/>
    </row>
    <row r="27" ht="15.75" customHeight="1">
      <c r="A27" s="4">
        <v>18.0</v>
      </c>
      <c r="B27" s="4" t="s">
        <v>718</v>
      </c>
      <c r="C27" s="4" t="s">
        <v>719</v>
      </c>
      <c r="D27" s="4" t="s">
        <v>161</v>
      </c>
      <c r="E27" s="4" t="s">
        <v>61</v>
      </c>
      <c r="F27" s="4" t="s">
        <v>720</v>
      </c>
      <c r="G27" s="4" t="s">
        <v>721</v>
      </c>
      <c r="H27" s="4" t="s">
        <v>722</v>
      </c>
      <c r="I27" s="4" t="s">
        <v>723</v>
      </c>
      <c r="J27" s="16" t="s">
        <v>41</v>
      </c>
      <c r="K27" s="13">
        <v>46312.0</v>
      </c>
      <c r="L27" s="5"/>
    </row>
    <row r="28" ht="15.75" customHeight="1">
      <c r="A28" s="4">
        <v>19.0</v>
      </c>
      <c r="B28" s="4" t="s">
        <v>724</v>
      </c>
      <c r="C28" s="4" t="s">
        <v>725</v>
      </c>
      <c r="D28" s="4" t="s">
        <v>726</v>
      </c>
      <c r="E28" s="4" t="s">
        <v>61</v>
      </c>
      <c r="F28" s="4" t="s">
        <v>727</v>
      </c>
      <c r="G28" s="4" t="s">
        <v>728</v>
      </c>
      <c r="H28" s="4" t="s">
        <v>729</v>
      </c>
      <c r="I28" s="4" t="s">
        <v>730</v>
      </c>
      <c r="J28" s="16" t="s">
        <v>41</v>
      </c>
      <c r="K28" s="13">
        <v>46312.0</v>
      </c>
      <c r="L28" s="5"/>
    </row>
    <row r="29" ht="15.75" customHeight="1">
      <c r="A29" s="6" t="s">
        <v>731</v>
      </c>
      <c r="B29" s="8"/>
      <c r="C29" s="8"/>
      <c r="D29" s="8"/>
      <c r="E29" s="8"/>
      <c r="F29" s="8"/>
      <c r="G29" s="8"/>
      <c r="H29" s="8"/>
      <c r="I29" s="8"/>
      <c r="J29" s="8"/>
      <c r="K29" s="8"/>
      <c r="L29" s="8"/>
    </row>
    <row r="30" ht="15.75" customHeight="1">
      <c r="A30" s="4">
        <v>20.0</v>
      </c>
      <c r="B30" s="4" t="s">
        <v>732</v>
      </c>
      <c r="C30" s="4" t="s">
        <v>733</v>
      </c>
      <c r="D30" s="4" t="s">
        <v>734</v>
      </c>
      <c r="E30" s="4" t="s">
        <v>61</v>
      </c>
      <c r="F30" s="4" t="s">
        <v>735</v>
      </c>
      <c r="G30" s="4" t="s">
        <v>736</v>
      </c>
      <c r="H30" s="4" t="s">
        <v>737</v>
      </c>
      <c r="I30" s="4" t="s">
        <v>738</v>
      </c>
      <c r="J30" s="16" t="s">
        <v>41</v>
      </c>
      <c r="K30" s="13">
        <v>46312.0</v>
      </c>
      <c r="L30" s="5"/>
    </row>
    <row r="31" ht="15.75" customHeight="1">
      <c r="A31" s="4">
        <v>21.0</v>
      </c>
      <c r="B31" s="4" t="s">
        <v>739</v>
      </c>
      <c r="C31" s="4" t="s">
        <v>740</v>
      </c>
      <c r="D31" s="4" t="s">
        <v>741</v>
      </c>
      <c r="E31" s="4" t="s">
        <v>61</v>
      </c>
      <c r="F31" s="4" t="s">
        <v>742</v>
      </c>
      <c r="G31" s="4" t="s">
        <v>743</v>
      </c>
      <c r="H31" s="4" t="s">
        <v>744</v>
      </c>
      <c r="I31" s="4" t="s">
        <v>745</v>
      </c>
      <c r="J31" s="16" t="s">
        <v>41</v>
      </c>
      <c r="K31" s="13">
        <v>46312.0</v>
      </c>
      <c r="L31" s="5"/>
    </row>
    <row r="32" ht="15.75" customHeight="1">
      <c r="A32" s="4">
        <v>22.0</v>
      </c>
      <c r="B32" s="4" t="s">
        <v>746</v>
      </c>
      <c r="C32" s="4" t="s">
        <v>747</v>
      </c>
      <c r="D32" s="4" t="s">
        <v>364</v>
      </c>
      <c r="E32" s="4" t="s">
        <v>61</v>
      </c>
      <c r="F32" s="4" t="s">
        <v>748</v>
      </c>
      <c r="G32" s="4" t="s">
        <v>749</v>
      </c>
      <c r="H32" s="4" t="s">
        <v>750</v>
      </c>
      <c r="I32" s="4" t="s">
        <v>751</v>
      </c>
      <c r="J32" s="16" t="s">
        <v>41</v>
      </c>
      <c r="K32" s="13">
        <v>46312.0</v>
      </c>
      <c r="L32" s="5"/>
    </row>
    <row r="33" ht="15.75" customHeight="1">
      <c r="A33" s="4">
        <v>23.0</v>
      </c>
      <c r="B33" s="4" t="s">
        <v>752</v>
      </c>
      <c r="C33" s="4" t="s">
        <v>753</v>
      </c>
      <c r="D33" s="4" t="s">
        <v>495</v>
      </c>
      <c r="E33" s="4" t="s">
        <v>61</v>
      </c>
      <c r="F33" s="4" t="s">
        <v>755</v>
      </c>
      <c r="G33" s="4" t="s">
        <v>756</v>
      </c>
      <c r="H33" s="4" t="s">
        <v>757</v>
      </c>
      <c r="I33" s="4" t="s">
        <v>758</v>
      </c>
      <c r="J33" s="16" t="s">
        <v>41</v>
      </c>
      <c r="K33" s="13">
        <v>46312.0</v>
      </c>
      <c r="L33" s="5"/>
    </row>
    <row r="34" ht="15.75" customHeight="1">
      <c r="A34" s="6" t="s">
        <v>759</v>
      </c>
      <c r="B34" s="8"/>
      <c r="C34" s="8"/>
      <c r="D34" s="8"/>
      <c r="E34" s="8"/>
      <c r="F34" s="8"/>
      <c r="G34" s="8"/>
      <c r="H34" s="8"/>
      <c r="I34" s="8"/>
      <c r="J34" s="8"/>
      <c r="K34" s="8"/>
      <c r="L34" s="8"/>
    </row>
    <row r="35" ht="15.75" customHeight="1">
      <c r="A35" s="4">
        <v>24.0</v>
      </c>
      <c r="B35" s="4" t="s">
        <v>760</v>
      </c>
      <c r="C35" s="4" t="s">
        <v>761</v>
      </c>
      <c r="D35" s="4" t="s">
        <v>762</v>
      </c>
      <c r="E35" s="4" t="s">
        <v>61</v>
      </c>
      <c r="F35" s="4" t="s">
        <v>763</v>
      </c>
      <c r="G35" s="4" t="s">
        <v>764</v>
      </c>
      <c r="H35" s="4" t="s">
        <v>765</v>
      </c>
      <c r="I35" s="4" t="s">
        <v>766</v>
      </c>
      <c r="J35" s="16" t="s">
        <v>41</v>
      </c>
      <c r="K35" s="13">
        <v>46312.0</v>
      </c>
      <c r="L35" s="5"/>
    </row>
    <row r="36" ht="15.75" customHeight="1">
      <c r="A36" s="4">
        <v>25.0</v>
      </c>
      <c r="B36" s="4" t="s">
        <v>768</v>
      </c>
      <c r="C36" s="4" t="s">
        <v>770</v>
      </c>
      <c r="D36" s="4" t="s">
        <v>772</v>
      </c>
      <c r="E36" s="4" t="s">
        <v>61</v>
      </c>
      <c r="F36" s="4" t="s">
        <v>773</v>
      </c>
      <c r="G36" s="4" t="s">
        <v>775</v>
      </c>
      <c r="H36" s="4" t="s">
        <v>777</v>
      </c>
      <c r="I36" s="4" t="s">
        <v>780</v>
      </c>
      <c r="J36" s="16" t="s">
        <v>41</v>
      </c>
      <c r="K36" s="13">
        <v>46312.0</v>
      </c>
      <c r="L36" s="5"/>
    </row>
    <row r="37" ht="15.75" customHeight="1">
      <c r="A37" s="4">
        <v>26.0</v>
      </c>
      <c r="B37" s="4" t="s">
        <v>782</v>
      </c>
      <c r="C37" s="4" t="s">
        <v>783</v>
      </c>
      <c r="D37" s="4" t="s">
        <v>161</v>
      </c>
      <c r="E37" s="4" t="s">
        <v>61</v>
      </c>
      <c r="F37" s="4" t="s">
        <v>784</v>
      </c>
      <c r="G37" s="4" t="s">
        <v>785</v>
      </c>
      <c r="H37" s="4" t="s">
        <v>786</v>
      </c>
      <c r="I37" s="4" t="s">
        <v>787</v>
      </c>
      <c r="J37" s="16" t="s">
        <v>41</v>
      </c>
      <c r="K37" s="13">
        <v>46312.0</v>
      </c>
      <c r="L37" s="5"/>
    </row>
    <row r="38" ht="15.75" customHeight="1">
      <c r="A38" s="4">
        <v>27.0</v>
      </c>
      <c r="B38" s="4" t="s">
        <v>789</v>
      </c>
      <c r="C38" s="4" t="s">
        <v>790</v>
      </c>
      <c r="D38" s="4" t="s">
        <v>280</v>
      </c>
      <c r="E38" s="4" t="s">
        <v>61</v>
      </c>
      <c r="F38" s="4" t="s">
        <v>792</v>
      </c>
      <c r="G38" s="4" t="s">
        <v>794</v>
      </c>
      <c r="H38" s="4" t="s">
        <v>795</v>
      </c>
      <c r="I38" s="4" t="s">
        <v>798</v>
      </c>
      <c r="J38" s="16" t="s">
        <v>41</v>
      </c>
      <c r="K38" s="13">
        <v>46312.0</v>
      </c>
      <c r="L38" s="5"/>
    </row>
    <row r="39" ht="15.75" customHeight="1">
      <c r="A39" s="6" t="s">
        <v>802</v>
      </c>
      <c r="B39" s="8"/>
      <c r="C39" s="8"/>
      <c r="D39" s="8"/>
      <c r="E39" s="8"/>
      <c r="F39" s="8"/>
      <c r="G39" s="8"/>
      <c r="H39" s="8"/>
      <c r="I39" s="8"/>
      <c r="J39" s="8"/>
      <c r="K39" s="8"/>
      <c r="L39" s="8"/>
    </row>
    <row r="40" ht="15.75" customHeight="1">
      <c r="A40" s="4">
        <v>28.0</v>
      </c>
      <c r="B40" s="4" t="s">
        <v>804</v>
      </c>
      <c r="C40" s="4" t="s">
        <v>807</v>
      </c>
      <c r="D40" s="4" t="s">
        <v>474</v>
      </c>
      <c r="E40" s="4" t="s">
        <v>61</v>
      </c>
      <c r="F40" s="4" t="s">
        <v>810</v>
      </c>
      <c r="G40" s="4" t="s">
        <v>812</v>
      </c>
      <c r="H40" s="4" t="s">
        <v>815</v>
      </c>
      <c r="I40" s="4" t="s">
        <v>819</v>
      </c>
      <c r="J40" s="16" t="s">
        <v>41</v>
      </c>
      <c r="K40" s="13">
        <v>46312.0</v>
      </c>
      <c r="L40" s="5"/>
    </row>
    <row r="41" ht="15.75" customHeight="1">
      <c r="A41" s="4">
        <v>29.0</v>
      </c>
      <c r="B41" s="4" t="s">
        <v>827</v>
      </c>
      <c r="C41" s="4" t="s">
        <v>831</v>
      </c>
      <c r="D41" s="4" t="s">
        <v>569</v>
      </c>
      <c r="E41" s="4" t="s">
        <v>61</v>
      </c>
      <c r="F41" s="4" t="s">
        <v>834</v>
      </c>
      <c r="G41" s="4" t="s">
        <v>838</v>
      </c>
      <c r="H41" s="4" t="s">
        <v>839</v>
      </c>
      <c r="I41" s="4" t="s">
        <v>841</v>
      </c>
      <c r="J41" s="16" t="s">
        <v>41</v>
      </c>
      <c r="K41" s="13">
        <v>46312.0</v>
      </c>
      <c r="L41" s="5"/>
    </row>
    <row r="42" ht="15.75" customHeight="1">
      <c r="A42" s="4">
        <v>30.0</v>
      </c>
      <c r="B42" s="4" t="s">
        <v>847</v>
      </c>
      <c r="C42" s="4" t="s">
        <v>850</v>
      </c>
      <c r="D42" s="4" t="s">
        <v>569</v>
      </c>
      <c r="E42" s="4" t="s">
        <v>61</v>
      </c>
      <c r="F42" s="4" t="s">
        <v>853</v>
      </c>
      <c r="G42" s="4" t="s">
        <v>855</v>
      </c>
      <c r="H42" s="4" t="s">
        <v>857</v>
      </c>
      <c r="I42" s="4" t="s">
        <v>860</v>
      </c>
      <c r="J42" s="16" t="s">
        <v>41</v>
      </c>
      <c r="K42" s="13">
        <v>46312.0</v>
      </c>
      <c r="L42" s="5"/>
    </row>
    <row r="43" ht="15.75" customHeight="1">
      <c r="A43" s="4">
        <v>31.0</v>
      </c>
      <c r="B43" s="4" t="s">
        <v>864</v>
      </c>
      <c r="C43" s="4" t="s">
        <v>865</v>
      </c>
      <c r="D43" s="4" t="s">
        <v>866</v>
      </c>
      <c r="E43" s="4" t="s">
        <v>61</v>
      </c>
      <c r="F43" s="4" t="s">
        <v>869</v>
      </c>
      <c r="G43" s="4" t="s">
        <v>870</v>
      </c>
      <c r="H43" s="4" t="s">
        <v>872</v>
      </c>
      <c r="I43" s="4" t="s">
        <v>874</v>
      </c>
      <c r="J43" s="16" t="s">
        <v>41</v>
      </c>
      <c r="K43" s="13">
        <v>46312.0</v>
      </c>
      <c r="L43" s="5"/>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6:J12 J14 J16:J18 J20:J23 J25:J28 J30:J33 J35:J38 J40:J43">
    <cfRule type="cellIs" dxfId="0" priority="1" operator="equal">
      <formula>"Pass"</formula>
    </cfRule>
  </conditionalFormatting>
  <conditionalFormatting sqref="J6:J12 J14 J16:J18 J20:J23 J25:J28 J30:J33 J35:J38 J40:J43">
    <cfRule type="cellIs" dxfId="1" priority="2" operator="equal">
      <formula>"Fail"</formula>
    </cfRule>
  </conditionalFormatting>
  <conditionalFormatting sqref="J6:J12 J14 J16:J18 J20:J23 J25:J28 J30:J33 J35:J38 J40:J43">
    <cfRule type="cellIs" dxfId="2" priority="3" operator="equal">
      <formula>"Changed by design"</formula>
    </cfRule>
  </conditionalFormatting>
  <conditionalFormatting sqref="J6:J12 J14 J16:J18 J20:J23 J25:J28 J30:J33 J35:J38 J40:J43">
    <cfRule type="cellIs" dxfId="3" priority="4" operator="equal">
      <formula>"Blocked"</formula>
    </cfRule>
  </conditionalFormatting>
  <dataValidations>
    <dataValidation type="list" allowBlank="1" sqref="J6:J12 J14 J16:J18 J20:J23 J25:J28 J30:J33 J35:J38 J40:J43">
      <formula1>"Pass,Fail,Changed by design,Blocked"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5.0"/>
    <col customWidth="1" min="3" max="3" width="34.0"/>
    <col customWidth="1" min="4" max="5" width="10.0"/>
    <col customWidth="1" min="6" max="6" width="46.0"/>
    <col customWidth="1" min="7" max="7" width="30.0"/>
    <col customWidth="1" min="8" max="8" width="58.0"/>
    <col customWidth="1" min="9" max="9" width="72.0"/>
    <col customWidth="1" min="10" max="10" width="18.0"/>
    <col customWidth="1" min="11" max="11" width="12.0"/>
    <col customWidth="1" min="12" max="12" width="34.0"/>
    <col customWidth="1" min="13" max="26" width="8.71"/>
  </cols>
  <sheetData>
    <row r="1">
      <c r="A1" s="1" t="s">
        <v>754</v>
      </c>
    </row>
    <row r="2">
      <c r="A2" s="2" t="s">
        <v>6</v>
      </c>
    </row>
    <row r="4">
      <c r="A4" s="3" t="s">
        <v>9</v>
      </c>
      <c r="B4" s="3" t="s">
        <v>15</v>
      </c>
      <c r="C4" s="3" t="s">
        <v>19</v>
      </c>
      <c r="D4" s="3" t="s">
        <v>20</v>
      </c>
      <c r="E4" s="3" t="s">
        <v>21</v>
      </c>
      <c r="F4" s="3" t="s">
        <v>22</v>
      </c>
      <c r="G4" s="3" t="s">
        <v>23</v>
      </c>
      <c r="H4" s="3" t="s">
        <v>24</v>
      </c>
      <c r="I4" s="3" t="s">
        <v>26</v>
      </c>
      <c r="J4" s="3" t="s">
        <v>16</v>
      </c>
      <c r="K4" s="3" t="s">
        <v>17</v>
      </c>
      <c r="L4" s="3" t="s">
        <v>29</v>
      </c>
    </row>
    <row r="5">
      <c r="A5" s="6" t="s">
        <v>767</v>
      </c>
      <c r="B5" s="8"/>
      <c r="C5" s="8"/>
      <c r="D5" s="8"/>
      <c r="E5" s="8"/>
      <c r="F5" s="8"/>
      <c r="G5" s="8"/>
      <c r="H5" s="8"/>
      <c r="I5" s="8"/>
      <c r="J5" s="8"/>
      <c r="K5" s="8"/>
      <c r="L5" s="8"/>
    </row>
    <row r="6">
      <c r="A6" s="4">
        <v>1.0</v>
      </c>
      <c r="B6" s="4" t="s">
        <v>769</v>
      </c>
      <c r="C6" s="4" t="s">
        <v>771</v>
      </c>
      <c r="D6" s="4" t="s">
        <v>682</v>
      </c>
      <c r="E6" s="4" t="s">
        <v>61</v>
      </c>
      <c r="F6" s="4" t="s">
        <v>774</v>
      </c>
      <c r="G6" s="4" t="s">
        <v>776</v>
      </c>
      <c r="H6" s="4" t="s">
        <v>779</v>
      </c>
      <c r="I6" s="4" t="s">
        <v>781</v>
      </c>
      <c r="J6" s="7" t="s">
        <v>41</v>
      </c>
      <c r="K6" s="18">
        <v>46313.0</v>
      </c>
      <c r="L6" s="7" t="s">
        <v>788</v>
      </c>
    </row>
    <row r="7">
      <c r="A7" s="4">
        <v>2.0</v>
      </c>
      <c r="B7" s="4" t="s">
        <v>791</v>
      </c>
      <c r="C7" s="4" t="s">
        <v>793</v>
      </c>
      <c r="D7" s="4" t="s">
        <v>453</v>
      </c>
      <c r="E7" s="4" t="s">
        <v>61</v>
      </c>
      <c r="F7" s="4" t="s">
        <v>796</v>
      </c>
      <c r="G7" s="4" t="s">
        <v>797</v>
      </c>
      <c r="H7" s="4" t="s">
        <v>799</v>
      </c>
      <c r="I7" s="4" t="s">
        <v>801</v>
      </c>
      <c r="J7" s="7" t="s">
        <v>41</v>
      </c>
      <c r="K7" s="18">
        <v>46313.0</v>
      </c>
      <c r="L7" s="5"/>
    </row>
    <row r="8">
      <c r="A8" s="4">
        <v>3.0</v>
      </c>
      <c r="B8" s="4" t="s">
        <v>805</v>
      </c>
      <c r="C8" s="4" t="s">
        <v>808</v>
      </c>
      <c r="D8" s="4" t="s">
        <v>809</v>
      </c>
      <c r="E8" s="4" t="s">
        <v>61</v>
      </c>
      <c r="F8" s="4" t="s">
        <v>811</v>
      </c>
      <c r="G8" s="4" t="s">
        <v>814</v>
      </c>
      <c r="H8" s="4" t="s">
        <v>817</v>
      </c>
      <c r="I8" s="4" t="s">
        <v>821</v>
      </c>
      <c r="J8" s="7" t="s">
        <v>41</v>
      </c>
      <c r="K8" s="18">
        <v>46313.0</v>
      </c>
      <c r="L8" s="5"/>
    </row>
    <row r="9">
      <c r="A9" s="4">
        <v>4.0</v>
      </c>
      <c r="B9" s="4" t="s">
        <v>828</v>
      </c>
      <c r="C9" s="4" t="s">
        <v>830</v>
      </c>
      <c r="D9" s="4" t="s">
        <v>592</v>
      </c>
      <c r="E9" s="4" t="s">
        <v>61</v>
      </c>
      <c r="F9" s="4" t="s">
        <v>835</v>
      </c>
      <c r="G9" s="4" t="s">
        <v>837</v>
      </c>
      <c r="H9" s="4" t="s">
        <v>840</v>
      </c>
      <c r="I9" s="4" t="s">
        <v>848</v>
      </c>
      <c r="J9" s="7" t="s">
        <v>41</v>
      </c>
      <c r="K9" s="18">
        <v>46313.0</v>
      </c>
      <c r="L9" s="5"/>
    </row>
    <row r="10">
      <c r="A10" s="6" t="s">
        <v>852</v>
      </c>
      <c r="B10" s="8"/>
      <c r="C10" s="8"/>
      <c r="D10" s="8"/>
      <c r="E10" s="8"/>
      <c r="F10" s="8"/>
      <c r="G10" s="8"/>
      <c r="H10" s="8"/>
      <c r="I10" s="8"/>
      <c r="J10" s="8"/>
      <c r="K10" s="8"/>
      <c r="L10" s="8"/>
    </row>
    <row r="11">
      <c r="A11" s="4">
        <v>5.0</v>
      </c>
      <c r="B11" s="4" t="s">
        <v>879</v>
      </c>
      <c r="C11" s="4" t="s">
        <v>882</v>
      </c>
      <c r="D11" s="4" t="s">
        <v>288</v>
      </c>
      <c r="E11" s="4" t="s">
        <v>61</v>
      </c>
      <c r="F11" s="4" t="s">
        <v>887</v>
      </c>
      <c r="G11" s="4" t="s">
        <v>889</v>
      </c>
      <c r="H11" s="4" t="s">
        <v>890</v>
      </c>
      <c r="I11" s="4" t="s">
        <v>893</v>
      </c>
      <c r="J11" s="7" t="s">
        <v>41</v>
      </c>
      <c r="K11" s="18">
        <v>46313.0</v>
      </c>
      <c r="L11" s="5"/>
    </row>
    <row r="12">
      <c r="A12" s="4">
        <v>6.0</v>
      </c>
      <c r="B12" s="4" t="s">
        <v>897</v>
      </c>
      <c r="C12" s="4" t="s">
        <v>899</v>
      </c>
      <c r="D12" s="4" t="s">
        <v>726</v>
      </c>
      <c r="E12" s="4" t="s">
        <v>61</v>
      </c>
      <c r="F12" s="4" t="s">
        <v>904</v>
      </c>
      <c r="G12" s="4" t="s">
        <v>906</v>
      </c>
      <c r="H12" s="4" t="s">
        <v>910</v>
      </c>
      <c r="I12" s="4" t="s">
        <v>915</v>
      </c>
      <c r="J12" s="7" t="s">
        <v>41</v>
      </c>
      <c r="K12" s="18">
        <v>46313.0</v>
      </c>
      <c r="L12" s="5"/>
    </row>
    <row r="13">
      <c r="A13" s="4">
        <v>7.0</v>
      </c>
      <c r="B13" s="4" t="s">
        <v>920</v>
      </c>
      <c r="C13" s="4" t="s">
        <v>921</v>
      </c>
      <c r="D13" s="4" t="s">
        <v>592</v>
      </c>
      <c r="E13" s="4" t="s">
        <v>61</v>
      </c>
      <c r="F13" s="4" t="s">
        <v>925</v>
      </c>
      <c r="G13" s="4" t="s">
        <v>926</v>
      </c>
      <c r="H13" s="4" t="s">
        <v>927</v>
      </c>
      <c r="I13" s="4" t="s">
        <v>929</v>
      </c>
      <c r="J13" s="7" t="s">
        <v>41</v>
      </c>
      <c r="K13" s="18">
        <v>46313.0</v>
      </c>
      <c r="L13" s="5"/>
    </row>
    <row r="14">
      <c r="A14" s="4">
        <v>8.0</v>
      </c>
      <c r="B14" s="4" t="s">
        <v>932</v>
      </c>
      <c r="C14" s="4" t="s">
        <v>935</v>
      </c>
      <c r="D14" s="4" t="s">
        <v>161</v>
      </c>
      <c r="E14" s="4" t="s">
        <v>61</v>
      </c>
      <c r="F14" s="4" t="s">
        <v>938</v>
      </c>
      <c r="G14" s="4" t="s">
        <v>939</v>
      </c>
      <c r="H14" s="4" t="s">
        <v>940</v>
      </c>
      <c r="I14" s="4" t="s">
        <v>944</v>
      </c>
      <c r="J14" s="7" t="s">
        <v>41</v>
      </c>
      <c r="K14" s="18">
        <v>46313.0</v>
      </c>
      <c r="L14" s="5"/>
    </row>
    <row r="15">
      <c r="A15" s="6" t="s">
        <v>949</v>
      </c>
      <c r="B15" s="8"/>
      <c r="C15" s="8"/>
      <c r="D15" s="8"/>
      <c r="E15" s="8"/>
      <c r="F15" s="8"/>
      <c r="G15" s="8"/>
      <c r="H15" s="8"/>
      <c r="I15" s="8"/>
      <c r="J15" s="8"/>
      <c r="K15" s="18">
        <v>46313.0</v>
      </c>
      <c r="L15" s="8"/>
    </row>
    <row r="16">
      <c r="A16" s="4">
        <v>9.0</v>
      </c>
      <c r="B16" s="4" t="s">
        <v>955</v>
      </c>
      <c r="C16" s="4" t="s">
        <v>957</v>
      </c>
      <c r="D16" s="4" t="s">
        <v>959</v>
      </c>
      <c r="E16" s="4" t="s">
        <v>61</v>
      </c>
      <c r="F16" s="4" t="s">
        <v>961</v>
      </c>
      <c r="G16" s="4" t="s">
        <v>963</v>
      </c>
      <c r="H16" s="4" t="s">
        <v>965</v>
      </c>
      <c r="I16" s="4" t="s">
        <v>968</v>
      </c>
      <c r="J16" s="7" t="s">
        <v>41</v>
      </c>
      <c r="K16" s="18">
        <v>46313.0</v>
      </c>
      <c r="L16" s="5"/>
    </row>
    <row r="17">
      <c r="A17" s="4">
        <v>10.0</v>
      </c>
      <c r="B17" s="4" t="s">
        <v>970</v>
      </c>
      <c r="C17" s="4" t="s">
        <v>971</v>
      </c>
      <c r="D17" s="4" t="s">
        <v>973</v>
      </c>
      <c r="E17" s="4" t="s">
        <v>61</v>
      </c>
      <c r="F17" s="4" t="s">
        <v>974</v>
      </c>
      <c r="G17" s="4" t="s">
        <v>976</v>
      </c>
      <c r="H17" s="4" t="s">
        <v>977</v>
      </c>
      <c r="I17" s="4" t="s">
        <v>980</v>
      </c>
      <c r="J17" s="7" t="s">
        <v>41</v>
      </c>
      <c r="K17" s="18">
        <v>46313.0</v>
      </c>
      <c r="L17" s="5"/>
    </row>
    <row r="18">
      <c r="A18" s="6" t="s">
        <v>982</v>
      </c>
      <c r="B18" s="8"/>
      <c r="C18" s="8"/>
      <c r="D18" s="8"/>
      <c r="E18" s="8"/>
      <c r="F18" s="8"/>
      <c r="G18" s="8"/>
      <c r="H18" s="8"/>
      <c r="I18" s="8"/>
      <c r="J18" s="8"/>
      <c r="K18" s="18">
        <v>46313.0</v>
      </c>
      <c r="L18" s="8"/>
    </row>
    <row r="19">
      <c r="A19" s="4">
        <v>11.0</v>
      </c>
      <c r="B19" s="4" t="s">
        <v>989</v>
      </c>
      <c r="C19" s="4" t="s">
        <v>991</v>
      </c>
      <c r="D19" s="4" t="s">
        <v>992</v>
      </c>
      <c r="E19" s="4" t="s">
        <v>61</v>
      </c>
      <c r="F19" s="4" t="s">
        <v>996</v>
      </c>
      <c r="G19" s="4" t="s">
        <v>998</v>
      </c>
      <c r="H19" s="4" t="s">
        <v>1000</v>
      </c>
      <c r="I19" s="4" t="s">
        <v>1006</v>
      </c>
      <c r="J19" s="7" t="s">
        <v>41</v>
      </c>
      <c r="K19" s="18">
        <v>46313.0</v>
      </c>
      <c r="L19" s="5"/>
    </row>
    <row r="20">
      <c r="A20" s="4">
        <v>12.0</v>
      </c>
      <c r="B20" s="4" t="s">
        <v>1012</v>
      </c>
      <c r="C20" s="4" t="s">
        <v>1013</v>
      </c>
      <c r="D20" s="4" t="s">
        <v>96</v>
      </c>
      <c r="E20" s="4" t="s">
        <v>61</v>
      </c>
      <c r="F20" s="4" t="s">
        <v>1018</v>
      </c>
      <c r="G20" s="4" t="s">
        <v>1020</v>
      </c>
      <c r="H20" s="4" t="s">
        <v>1021</v>
      </c>
      <c r="I20" s="4" t="s">
        <v>1023</v>
      </c>
      <c r="J20" s="7" t="s">
        <v>41</v>
      </c>
      <c r="K20" s="18">
        <v>46313.0</v>
      </c>
      <c r="L20" s="5"/>
    </row>
    <row r="21" ht="15.75" customHeight="1">
      <c r="A21" s="4">
        <v>13.0</v>
      </c>
      <c r="B21" s="4" t="s">
        <v>1027</v>
      </c>
      <c r="C21" s="4" t="s">
        <v>1028</v>
      </c>
      <c r="D21" s="4" t="s">
        <v>1029</v>
      </c>
      <c r="E21" s="4" t="s">
        <v>61</v>
      </c>
      <c r="F21" s="4" t="s">
        <v>1034</v>
      </c>
      <c r="G21" s="4" t="s">
        <v>1037</v>
      </c>
      <c r="H21" s="4" t="s">
        <v>1038</v>
      </c>
      <c r="I21" s="4" t="s">
        <v>1041</v>
      </c>
      <c r="J21" s="7" t="s">
        <v>41</v>
      </c>
      <c r="K21" s="18">
        <v>46313.0</v>
      </c>
      <c r="L21" s="5"/>
    </row>
    <row r="22" ht="15.75" customHeight="1">
      <c r="A22" s="4">
        <v>14.0</v>
      </c>
      <c r="B22" s="4" t="s">
        <v>1044</v>
      </c>
      <c r="C22" s="4" t="s">
        <v>1045</v>
      </c>
      <c r="D22" s="4" t="s">
        <v>1047</v>
      </c>
      <c r="E22" s="4" t="s">
        <v>61</v>
      </c>
      <c r="F22" s="4" t="s">
        <v>1051</v>
      </c>
      <c r="G22" s="4" t="s">
        <v>1053</v>
      </c>
      <c r="H22" s="4" t="s">
        <v>1055</v>
      </c>
      <c r="I22" s="4" t="s">
        <v>1060</v>
      </c>
      <c r="J22" s="7" t="s">
        <v>41</v>
      </c>
      <c r="K22" s="18">
        <v>46313.0</v>
      </c>
      <c r="L22" s="5"/>
    </row>
    <row r="23" ht="15.75" customHeight="1">
      <c r="A23" s="6" t="s">
        <v>1064</v>
      </c>
      <c r="B23" s="8"/>
      <c r="C23" s="8"/>
      <c r="D23" s="8"/>
      <c r="E23" s="8"/>
      <c r="F23" s="8"/>
      <c r="G23" s="8"/>
      <c r="H23" s="8"/>
      <c r="I23" s="8"/>
      <c r="J23" s="8"/>
      <c r="K23" s="8"/>
      <c r="L23" s="8"/>
    </row>
    <row r="24" ht="15.75" customHeight="1">
      <c r="A24" s="4">
        <v>15.0</v>
      </c>
      <c r="B24" s="4" t="s">
        <v>1070</v>
      </c>
      <c r="C24" s="4" t="s">
        <v>1071</v>
      </c>
      <c r="D24" s="4" t="s">
        <v>1073</v>
      </c>
      <c r="E24" s="4" t="s">
        <v>61</v>
      </c>
      <c r="F24" s="4" t="s">
        <v>1076</v>
      </c>
      <c r="G24" s="4" t="s">
        <v>1080</v>
      </c>
      <c r="H24" s="4" t="s">
        <v>1083</v>
      </c>
      <c r="I24" s="4" t="s">
        <v>1087</v>
      </c>
      <c r="J24" s="7" t="s">
        <v>107</v>
      </c>
      <c r="K24" s="18">
        <v>46313.0</v>
      </c>
      <c r="L24" s="7" t="s">
        <v>1091</v>
      </c>
    </row>
    <row r="25" ht="15.75" customHeight="1">
      <c r="A25" s="4">
        <v>16.0</v>
      </c>
      <c r="B25" s="4" t="s">
        <v>1093</v>
      </c>
      <c r="C25" s="4" t="s">
        <v>1095</v>
      </c>
      <c r="D25" s="4" t="s">
        <v>145</v>
      </c>
      <c r="E25" s="4" t="s">
        <v>61</v>
      </c>
      <c r="F25" s="4" t="s">
        <v>1099</v>
      </c>
      <c r="G25" s="4" t="s">
        <v>1102</v>
      </c>
      <c r="H25" s="4" t="s">
        <v>1104</v>
      </c>
      <c r="I25" s="4" t="s">
        <v>1109</v>
      </c>
      <c r="J25" s="7" t="s">
        <v>41</v>
      </c>
      <c r="K25" s="18">
        <v>46313.0</v>
      </c>
      <c r="L25" s="5"/>
    </row>
    <row r="26" ht="15.75" customHeight="1">
      <c r="A26" s="4">
        <v>17.0</v>
      </c>
      <c r="B26" s="4" t="s">
        <v>1111</v>
      </c>
      <c r="C26" s="4" t="s">
        <v>1112</v>
      </c>
      <c r="D26" s="4" t="s">
        <v>1115</v>
      </c>
      <c r="E26" s="4" t="s">
        <v>61</v>
      </c>
      <c r="F26" s="4" t="s">
        <v>1117</v>
      </c>
      <c r="G26" s="4" t="s">
        <v>1119</v>
      </c>
      <c r="H26" s="4" t="s">
        <v>1123</v>
      </c>
      <c r="I26" s="4" t="s">
        <v>1127</v>
      </c>
      <c r="J26" s="7" t="s">
        <v>41</v>
      </c>
      <c r="K26" s="18">
        <v>46313.0</v>
      </c>
      <c r="L26" s="5"/>
    </row>
    <row r="27" ht="15.75" customHeight="1">
      <c r="A27" s="4">
        <v>18.0</v>
      </c>
      <c r="B27" s="4" t="s">
        <v>1129</v>
      </c>
      <c r="C27" s="4" t="s">
        <v>1133</v>
      </c>
      <c r="D27" s="4" t="s">
        <v>364</v>
      </c>
      <c r="E27" s="4" t="s">
        <v>61</v>
      </c>
      <c r="F27" s="4" t="s">
        <v>1136</v>
      </c>
      <c r="G27" s="4" t="s">
        <v>1138</v>
      </c>
      <c r="H27" s="4" t="s">
        <v>1140</v>
      </c>
      <c r="I27" s="4" t="s">
        <v>1143</v>
      </c>
      <c r="J27" s="7" t="s">
        <v>41</v>
      </c>
      <c r="K27" s="18">
        <v>46313.0</v>
      </c>
      <c r="L27" s="5"/>
    </row>
    <row r="28" ht="15.75" customHeight="1">
      <c r="A28" s="6" t="s">
        <v>1146</v>
      </c>
      <c r="B28" s="8"/>
      <c r="C28" s="8"/>
      <c r="D28" s="8"/>
      <c r="E28" s="8"/>
      <c r="F28" s="8"/>
      <c r="G28" s="8"/>
      <c r="H28" s="8"/>
      <c r="I28" s="8"/>
      <c r="J28" s="8"/>
      <c r="K28" s="8"/>
      <c r="L28" s="8"/>
    </row>
    <row r="29" ht="15.75" customHeight="1">
      <c r="A29" s="4">
        <v>19.0</v>
      </c>
      <c r="B29" s="4" t="s">
        <v>1153</v>
      </c>
      <c r="C29" s="4" t="s">
        <v>1155</v>
      </c>
      <c r="D29" s="4" t="s">
        <v>288</v>
      </c>
      <c r="E29" s="4" t="s">
        <v>61</v>
      </c>
      <c r="F29" s="4" t="s">
        <v>1157</v>
      </c>
      <c r="G29" s="4" t="s">
        <v>1159</v>
      </c>
      <c r="H29" s="4" t="s">
        <v>1160</v>
      </c>
      <c r="I29" s="4" t="s">
        <v>1162</v>
      </c>
      <c r="J29" s="7" t="s">
        <v>41</v>
      </c>
      <c r="K29" s="18">
        <v>46313.0</v>
      </c>
      <c r="L29" s="5"/>
    </row>
    <row r="30" ht="15.75" customHeight="1">
      <c r="A30" s="4">
        <v>20.0</v>
      </c>
      <c r="B30" s="4" t="s">
        <v>1165</v>
      </c>
      <c r="C30" s="4" t="s">
        <v>1167</v>
      </c>
      <c r="D30" s="4" t="s">
        <v>569</v>
      </c>
      <c r="E30" s="4" t="s">
        <v>61</v>
      </c>
      <c r="F30" s="4" t="s">
        <v>1171</v>
      </c>
      <c r="G30" s="4" t="s">
        <v>1173</v>
      </c>
      <c r="H30" s="4" t="s">
        <v>1176</v>
      </c>
      <c r="I30" s="4" t="s">
        <v>1178</v>
      </c>
      <c r="J30" s="7" t="s">
        <v>41</v>
      </c>
      <c r="K30" s="18">
        <v>46313.0</v>
      </c>
      <c r="L30" s="5"/>
    </row>
    <row r="31" ht="15.75" customHeight="1">
      <c r="A31" s="4">
        <v>21.0</v>
      </c>
      <c r="B31" s="4" t="s">
        <v>1183</v>
      </c>
      <c r="C31" s="4" t="s">
        <v>1185</v>
      </c>
      <c r="D31" s="4" t="s">
        <v>1186</v>
      </c>
      <c r="E31" s="4" t="s">
        <v>61</v>
      </c>
      <c r="F31" s="4" t="s">
        <v>1189</v>
      </c>
      <c r="G31" s="4" t="s">
        <v>1192</v>
      </c>
      <c r="H31" s="4" t="s">
        <v>1194</v>
      </c>
      <c r="I31" s="4" t="s">
        <v>1195</v>
      </c>
      <c r="J31" s="7" t="s">
        <v>41</v>
      </c>
      <c r="K31" s="18">
        <v>46313.0</v>
      </c>
      <c r="L31" s="5"/>
    </row>
    <row r="32" ht="15.75" customHeight="1">
      <c r="A32" s="4">
        <v>22.0</v>
      </c>
      <c r="B32" s="4" t="s">
        <v>1198</v>
      </c>
      <c r="C32" s="4" t="s">
        <v>1199</v>
      </c>
      <c r="D32" s="4" t="s">
        <v>495</v>
      </c>
      <c r="E32" s="4" t="s">
        <v>61</v>
      </c>
      <c r="F32" s="4" t="s">
        <v>1202</v>
      </c>
      <c r="G32" s="4" t="s">
        <v>1204</v>
      </c>
      <c r="H32" s="4" t="s">
        <v>1206</v>
      </c>
      <c r="I32" s="4" t="s">
        <v>1207</v>
      </c>
      <c r="J32" s="7" t="s">
        <v>41</v>
      </c>
      <c r="K32" s="18">
        <v>46313.0</v>
      </c>
      <c r="L32" s="5"/>
    </row>
    <row r="33" ht="15.75" customHeight="1">
      <c r="A33" s="4">
        <v>23.0</v>
      </c>
      <c r="B33" s="4" t="s">
        <v>1209</v>
      </c>
      <c r="C33" s="4" t="s">
        <v>1211</v>
      </c>
      <c r="D33" s="4" t="s">
        <v>1212</v>
      </c>
      <c r="E33" s="4" t="s">
        <v>61</v>
      </c>
      <c r="F33" s="4" t="s">
        <v>1214</v>
      </c>
      <c r="G33" s="4" t="s">
        <v>1216</v>
      </c>
      <c r="H33" s="4" t="s">
        <v>1217</v>
      </c>
      <c r="I33" s="4" t="s">
        <v>1219</v>
      </c>
      <c r="J33" s="7" t="s">
        <v>41</v>
      </c>
      <c r="K33" s="18">
        <v>46313.0</v>
      </c>
      <c r="L33" s="5"/>
    </row>
    <row r="34" ht="15.75" customHeight="1">
      <c r="A34" s="4">
        <v>24.0</v>
      </c>
      <c r="B34" s="4" t="s">
        <v>1221</v>
      </c>
      <c r="C34" s="4" t="s">
        <v>1222</v>
      </c>
      <c r="D34" s="4" t="s">
        <v>280</v>
      </c>
      <c r="E34" s="4" t="s">
        <v>61</v>
      </c>
      <c r="F34" s="4" t="s">
        <v>1225</v>
      </c>
      <c r="G34" s="4" t="s">
        <v>1226</v>
      </c>
      <c r="H34" s="4" t="s">
        <v>1227</v>
      </c>
      <c r="I34" s="4" t="s">
        <v>1228</v>
      </c>
      <c r="J34" s="7" t="s">
        <v>41</v>
      </c>
      <c r="K34" s="18">
        <v>46313.0</v>
      </c>
      <c r="L34" s="5"/>
    </row>
    <row r="35" ht="15.75" customHeight="1">
      <c r="A35" s="4">
        <v>25.0</v>
      </c>
      <c r="B35" s="4" t="s">
        <v>1234</v>
      </c>
      <c r="C35" s="4" t="s">
        <v>1236</v>
      </c>
      <c r="D35" s="4" t="s">
        <v>161</v>
      </c>
      <c r="E35" s="4" t="s">
        <v>877</v>
      </c>
      <c r="F35" s="4" t="s">
        <v>1237</v>
      </c>
      <c r="G35" s="4" t="s">
        <v>1238</v>
      </c>
      <c r="H35" s="4" t="s">
        <v>1240</v>
      </c>
      <c r="I35" s="4" t="s">
        <v>1242</v>
      </c>
      <c r="J35" s="7" t="s">
        <v>41</v>
      </c>
      <c r="K35" s="18">
        <v>46313.0</v>
      </c>
      <c r="L35" s="5"/>
    </row>
    <row r="36" ht="15.75" customHeight="1">
      <c r="A36" s="6" t="s">
        <v>1245</v>
      </c>
      <c r="B36" s="8"/>
      <c r="C36" s="8"/>
      <c r="D36" s="8"/>
      <c r="E36" s="8"/>
      <c r="F36" s="8"/>
      <c r="G36" s="8"/>
      <c r="H36" s="8"/>
      <c r="I36" s="8"/>
      <c r="J36" s="8"/>
      <c r="K36" s="8"/>
      <c r="L36" s="8"/>
    </row>
    <row r="37" ht="15.75" customHeight="1">
      <c r="A37" s="4">
        <v>26.0</v>
      </c>
      <c r="B37" s="4" t="s">
        <v>1253</v>
      </c>
      <c r="C37" s="4" t="s">
        <v>1255</v>
      </c>
      <c r="D37" s="4" t="s">
        <v>1257</v>
      </c>
      <c r="E37" s="4" t="s">
        <v>61</v>
      </c>
      <c r="F37" s="4" t="s">
        <v>1258</v>
      </c>
      <c r="G37" s="4" t="s">
        <v>1261</v>
      </c>
      <c r="H37" s="4" t="s">
        <v>1263</v>
      </c>
      <c r="I37" s="4" t="s">
        <v>1267</v>
      </c>
      <c r="J37" s="7" t="s">
        <v>41</v>
      </c>
      <c r="K37" s="18">
        <v>46313.0</v>
      </c>
      <c r="L37" s="5"/>
    </row>
    <row r="38" ht="15.75" customHeight="1">
      <c r="A38" s="4">
        <v>27.0</v>
      </c>
      <c r="B38" s="4" t="s">
        <v>1270</v>
      </c>
      <c r="C38" s="4" t="s">
        <v>1271</v>
      </c>
      <c r="D38" s="4" t="s">
        <v>1273</v>
      </c>
      <c r="E38" s="4" t="s">
        <v>61</v>
      </c>
      <c r="F38" s="4" t="s">
        <v>1275</v>
      </c>
      <c r="G38" s="4" t="s">
        <v>1276</v>
      </c>
      <c r="H38" s="4" t="s">
        <v>1277</v>
      </c>
      <c r="I38" s="4" t="s">
        <v>1280</v>
      </c>
      <c r="J38" s="7" t="s">
        <v>41</v>
      </c>
      <c r="K38" s="18">
        <v>46313.0</v>
      </c>
      <c r="L38" s="5"/>
    </row>
    <row r="39" ht="15.75" customHeight="1">
      <c r="A39" s="4">
        <v>28.0</v>
      </c>
      <c r="B39" s="4" t="s">
        <v>1283</v>
      </c>
      <c r="C39" s="4" t="s">
        <v>1284</v>
      </c>
      <c r="D39" s="4" t="s">
        <v>1285</v>
      </c>
      <c r="E39" s="4" t="s">
        <v>61</v>
      </c>
      <c r="F39" s="4" t="s">
        <v>1288</v>
      </c>
      <c r="G39" s="4" t="s">
        <v>1290</v>
      </c>
      <c r="H39" s="4" t="s">
        <v>1291</v>
      </c>
      <c r="I39" s="4" t="s">
        <v>1294</v>
      </c>
      <c r="J39" s="7" t="s">
        <v>41</v>
      </c>
      <c r="K39" s="18">
        <v>46313.0</v>
      </c>
      <c r="L39" s="5"/>
    </row>
    <row r="40" ht="15.75" customHeight="1">
      <c r="A40" s="4">
        <v>29.0</v>
      </c>
      <c r="B40" s="4" t="s">
        <v>1296</v>
      </c>
      <c r="C40" s="4" t="s">
        <v>1297</v>
      </c>
      <c r="D40" s="4" t="s">
        <v>504</v>
      </c>
      <c r="E40" s="4" t="s">
        <v>61</v>
      </c>
      <c r="F40" s="4" t="s">
        <v>1298</v>
      </c>
      <c r="G40" s="4" t="s">
        <v>1300</v>
      </c>
      <c r="H40" s="4" t="s">
        <v>1303</v>
      </c>
      <c r="I40" s="4" t="s">
        <v>1306</v>
      </c>
      <c r="J40" s="7" t="s">
        <v>41</v>
      </c>
      <c r="K40" s="18">
        <v>46313.0</v>
      </c>
      <c r="L40" s="5"/>
    </row>
    <row r="41" ht="15.75" customHeight="1">
      <c r="A41" s="4">
        <v>30.0</v>
      </c>
      <c r="B41" s="4" t="s">
        <v>1309</v>
      </c>
      <c r="C41" s="4" t="s">
        <v>1310</v>
      </c>
      <c r="D41" s="4" t="s">
        <v>1312</v>
      </c>
      <c r="E41" s="4" t="s">
        <v>61</v>
      </c>
      <c r="F41" s="4" t="s">
        <v>1314</v>
      </c>
      <c r="G41" s="4" t="s">
        <v>1316</v>
      </c>
      <c r="H41" s="4" t="s">
        <v>1318</v>
      </c>
      <c r="I41" s="4" t="s">
        <v>1323</v>
      </c>
      <c r="J41" s="7" t="s">
        <v>41</v>
      </c>
      <c r="K41" s="18">
        <v>46313.0</v>
      </c>
      <c r="L41" s="5"/>
    </row>
    <row r="42" ht="15.75" customHeight="1">
      <c r="A42" s="4">
        <v>31.0</v>
      </c>
      <c r="B42" s="4" t="s">
        <v>1327</v>
      </c>
      <c r="C42" s="4" t="s">
        <v>1330</v>
      </c>
      <c r="D42" s="4" t="s">
        <v>1331</v>
      </c>
      <c r="E42" s="4" t="s">
        <v>61</v>
      </c>
      <c r="F42" s="4" t="s">
        <v>1336</v>
      </c>
      <c r="G42" s="4" t="s">
        <v>1337</v>
      </c>
      <c r="H42" s="4" t="s">
        <v>1339</v>
      </c>
      <c r="I42" s="4" t="s">
        <v>1344</v>
      </c>
      <c r="J42" s="7" t="s">
        <v>41</v>
      </c>
      <c r="K42" s="18">
        <v>46313.0</v>
      </c>
      <c r="L42" s="5"/>
      <c r="M42" s="19" t="s">
        <v>1346</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5:J42">
    <cfRule type="cellIs" dxfId="0" priority="1" operator="equal">
      <formula>"Pass"</formula>
    </cfRule>
  </conditionalFormatting>
  <conditionalFormatting sqref="J5:J42">
    <cfRule type="cellIs" dxfId="1" priority="2" operator="equal">
      <formula>"Fail"</formula>
    </cfRule>
  </conditionalFormatting>
  <conditionalFormatting sqref="J5:J42">
    <cfRule type="cellIs" dxfId="2" priority="3" operator="equal">
      <formula>"Changed by design"</formula>
    </cfRule>
  </conditionalFormatting>
  <conditionalFormatting sqref="J5:J42">
    <cfRule type="cellIs" dxfId="3" priority="4" operator="equal">
      <formula>"Blocked"</formula>
    </cfRule>
  </conditionalFormatting>
  <dataValidations>
    <dataValidation type="list" allowBlank="1" sqref="J5:J42">
      <formula1>"Pass,Fail,Changed by design,Blocked"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5.0"/>
    <col customWidth="1" min="3" max="3" width="34.0"/>
    <col customWidth="1" min="4" max="5" width="10.0"/>
    <col customWidth="1" min="6" max="6" width="46.0"/>
    <col customWidth="1" min="7" max="7" width="30.0"/>
    <col customWidth="1" min="8" max="8" width="58.0"/>
    <col customWidth="1" min="9" max="9" width="72.0"/>
    <col customWidth="1" min="10" max="10" width="18.0"/>
    <col customWidth="1" min="11" max="11" width="12.0"/>
    <col customWidth="1" min="12" max="12" width="34.0"/>
    <col customWidth="1" min="13" max="26" width="8.71"/>
  </cols>
  <sheetData>
    <row r="1">
      <c r="A1" s="1" t="s">
        <v>778</v>
      </c>
    </row>
    <row r="2">
      <c r="A2" s="2" t="s">
        <v>6</v>
      </c>
    </row>
    <row r="4">
      <c r="A4" s="3" t="s">
        <v>9</v>
      </c>
      <c r="B4" s="3" t="s">
        <v>15</v>
      </c>
      <c r="C4" s="3" t="s">
        <v>19</v>
      </c>
      <c r="D4" s="3" t="s">
        <v>20</v>
      </c>
      <c r="E4" s="3" t="s">
        <v>21</v>
      </c>
      <c r="F4" s="3" t="s">
        <v>22</v>
      </c>
      <c r="G4" s="3" t="s">
        <v>23</v>
      </c>
      <c r="H4" s="3" t="s">
        <v>24</v>
      </c>
      <c r="I4" s="3" t="s">
        <v>26</v>
      </c>
      <c r="J4" s="3" t="s">
        <v>16</v>
      </c>
      <c r="K4" s="3" t="s">
        <v>17</v>
      </c>
      <c r="L4" s="3" t="s">
        <v>29</v>
      </c>
    </row>
    <row r="5">
      <c r="A5" s="6" t="s">
        <v>800</v>
      </c>
      <c r="B5" s="8"/>
      <c r="C5" s="8"/>
      <c r="D5" s="8"/>
      <c r="E5" s="8"/>
      <c r="F5" s="8"/>
      <c r="G5" s="8"/>
      <c r="H5" s="8"/>
      <c r="I5" s="8"/>
      <c r="J5" s="8"/>
      <c r="K5" s="8"/>
      <c r="L5" s="8"/>
    </row>
    <row r="6">
      <c r="A6" s="4">
        <v>1.0</v>
      </c>
      <c r="B6" s="4" t="s">
        <v>813</v>
      </c>
      <c r="C6" s="4" t="s">
        <v>816</v>
      </c>
      <c r="D6" s="4" t="s">
        <v>198</v>
      </c>
      <c r="E6" s="4" t="s">
        <v>61</v>
      </c>
      <c r="F6" s="4" t="s">
        <v>822</v>
      </c>
      <c r="G6" s="4" t="s">
        <v>823</v>
      </c>
      <c r="H6" s="4" t="s">
        <v>824</v>
      </c>
      <c r="I6" s="4" t="s">
        <v>826</v>
      </c>
      <c r="J6" s="7" t="s">
        <v>41</v>
      </c>
      <c r="K6" s="13">
        <v>46313.0</v>
      </c>
      <c r="L6" s="5"/>
    </row>
    <row r="7">
      <c r="A7" s="4">
        <v>2.0</v>
      </c>
      <c r="B7" s="4" t="s">
        <v>844</v>
      </c>
      <c r="C7" s="4" t="s">
        <v>845</v>
      </c>
      <c r="D7" s="4" t="s">
        <v>849</v>
      </c>
      <c r="E7" s="4" t="s">
        <v>61</v>
      </c>
      <c r="F7" s="4" t="s">
        <v>851</v>
      </c>
      <c r="G7" s="4" t="s">
        <v>854</v>
      </c>
      <c r="H7" s="4" t="s">
        <v>856</v>
      </c>
      <c r="I7" s="4" t="s">
        <v>858</v>
      </c>
      <c r="J7" s="7" t="s">
        <v>41</v>
      </c>
      <c r="K7" s="13">
        <v>46313.0</v>
      </c>
      <c r="L7" s="5"/>
    </row>
    <row r="8">
      <c r="A8" s="4">
        <v>3.0</v>
      </c>
      <c r="B8" s="4" t="s">
        <v>867</v>
      </c>
      <c r="C8" s="4" t="s">
        <v>868</v>
      </c>
      <c r="D8" s="4" t="s">
        <v>592</v>
      </c>
      <c r="E8" s="4" t="s">
        <v>61</v>
      </c>
      <c r="F8" s="4" t="s">
        <v>873</v>
      </c>
      <c r="G8" s="4" t="s">
        <v>875</v>
      </c>
      <c r="H8" s="4" t="s">
        <v>878</v>
      </c>
      <c r="I8" s="4" t="s">
        <v>881</v>
      </c>
      <c r="J8" s="7" t="s">
        <v>41</v>
      </c>
      <c r="K8" s="13">
        <v>46313.0</v>
      </c>
      <c r="L8" s="5"/>
    </row>
    <row r="9">
      <c r="A9" s="6" t="s">
        <v>886</v>
      </c>
      <c r="B9" s="8"/>
      <c r="C9" s="8"/>
      <c r="D9" s="8"/>
      <c r="E9" s="8"/>
      <c r="F9" s="8"/>
      <c r="G9" s="8"/>
      <c r="H9" s="8"/>
      <c r="I9" s="8"/>
      <c r="J9" s="8"/>
      <c r="K9" s="8"/>
      <c r="L9" s="8"/>
    </row>
    <row r="10">
      <c r="A10" s="4">
        <v>4.0</v>
      </c>
      <c r="B10" s="4" t="s">
        <v>892</v>
      </c>
      <c r="C10" s="4" t="s">
        <v>894</v>
      </c>
      <c r="D10" s="4" t="s">
        <v>592</v>
      </c>
      <c r="E10" s="4" t="s">
        <v>61</v>
      </c>
      <c r="F10" s="4" t="s">
        <v>896</v>
      </c>
      <c r="G10" s="4" t="s">
        <v>898</v>
      </c>
      <c r="H10" s="4" t="s">
        <v>900</v>
      </c>
      <c r="I10" s="4" t="s">
        <v>902</v>
      </c>
      <c r="J10" s="7" t="s">
        <v>41</v>
      </c>
      <c r="K10" s="13">
        <v>46313.0</v>
      </c>
      <c r="L10" s="7" t="s">
        <v>903</v>
      </c>
    </row>
    <row r="11">
      <c r="A11" s="4">
        <v>5.0</v>
      </c>
      <c r="B11" s="4" t="s">
        <v>905</v>
      </c>
      <c r="C11" s="4" t="s">
        <v>907</v>
      </c>
      <c r="D11" s="4" t="s">
        <v>909</v>
      </c>
      <c r="E11" s="4" t="s">
        <v>61</v>
      </c>
      <c r="F11" s="4" t="s">
        <v>912</v>
      </c>
      <c r="G11" s="4" t="s">
        <v>914</v>
      </c>
      <c r="H11" s="4" t="s">
        <v>916</v>
      </c>
      <c r="I11" s="4" t="s">
        <v>918</v>
      </c>
      <c r="J11" s="7" t="s">
        <v>41</v>
      </c>
      <c r="K11" s="13">
        <v>46313.0</v>
      </c>
      <c r="L11" s="7" t="s">
        <v>903</v>
      </c>
    </row>
    <row r="12">
      <c r="A12" s="4">
        <v>6.0</v>
      </c>
      <c r="B12" s="4" t="s">
        <v>923</v>
      </c>
      <c r="C12" s="4" t="s">
        <v>924</v>
      </c>
      <c r="D12" s="4" t="s">
        <v>161</v>
      </c>
      <c r="E12" s="4" t="s">
        <v>61</v>
      </c>
      <c r="F12" s="4" t="s">
        <v>930</v>
      </c>
      <c r="G12" s="4" t="s">
        <v>931</v>
      </c>
      <c r="H12" s="4" t="s">
        <v>933</v>
      </c>
      <c r="I12" s="4" t="s">
        <v>936</v>
      </c>
      <c r="J12" s="7" t="s">
        <v>41</v>
      </c>
      <c r="K12" s="13">
        <v>46313.0</v>
      </c>
      <c r="L12" s="7" t="s">
        <v>903</v>
      </c>
    </row>
    <row r="13">
      <c r="A13" s="4">
        <v>7.0</v>
      </c>
      <c r="B13" s="4" t="s">
        <v>941</v>
      </c>
      <c r="C13" s="4" t="s">
        <v>942</v>
      </c>
      <c r="D13" s="4" t="s">
        <v>280</v>
      </c>
      <c r="E13" s="4" t="s">
        <v>61</v>
      </c>
      <c r="F13" s="4" t="s">
        <v>945</v>
      </c>
      <c r="G13" s="4" t="s">
        <v>947</v>
      </c>
      <c r="H13" s="4" t="s">
        <v>948</v>
      </c>
      <c r="I13" s="4" t="s">
        <v>951</v>
      </c>
      <c r="J13" s="7" t="s">
        <v>41</v>
      </c>
      <c r="K13" s="13">
        <v>46313.0</v>
      </c>
      <c r="L13" s="7" t="s">
        <v>903</v>
      </c>
    </row>
    <row r="14">
      <c r="A14" s="4">
        <v>8.0</v>
      </c>
      <c r="B14" s="4" t="s">
        <v>952</v>
      </c>
      <c r="C14" s="4" t="s">
        <v>954</v>
      </c>
      <c r="D14" s="4" t="s">
        <v>956</v>
      </c>
      <c r="E14" s="4" t="s">
        <v>61</v>
      </c>
      <c r="F14" s="4" t="s">
        <v>960</v>
      </c>
      <c r="G14" s="4" t="s">
        <v>962</v>
      </c>
      <c r="H14" s="4" t="s">
        <v>964</v>
      </c>
      <c r="I14" s="4" t="s">
        <v>967</v>
      </c>
      <c r="J14" s="7" t="s">
        <v>41</v>
      </c>
      <c r="K14" s="13">
        <v>46313.0</v>
      </c>
      <c r="L14" s="7" t="s">
        <v>903</v>
      </c>
    </row>
    <row r="15">
      <c r="A15" s="6" t="s">
        <v>969</v>
      </c>
      <c r="B15" s="8"/>
      <c r="C15" s="8"/>
      <c r="D15" s="8"/>
      <c r="E15" s="8"/>
      <c r="F15" s="8"/>
      <c r="G15" s="8"/>
      <c r="H15" s="8"/>
      <c r="I15" s="8"/>
      <c r="J15" s="8"/>
      <c r="K15" s="8"/>
      <c r="L15" s="8"/>
    </row>
    <row r="16">
      <c r="A16" s="4">
        <v>9.0</v>
      </c>
      <c r="B16" s="4" t="s">
        <v>979</v>
      </c>
      <c r="C16" s="4" t="s">
        <v>981</v>
      </c>
      <c r="D16" s="4" t="s">
        <v>60</v>
      </c>
      <c r="E16" s="4" t="s">
        <v>61</v>
      </c>
      <c r="F16" s="4" t="s">
        <v>984</v>
      </c>
      <c r="G16" s="4" t="s">
        <v>986</v>
      </c>
      <c r="H16" s="4" t="s">
        <v>988</v>
      </c>
      <c r="I16" s="4" t="s">
        <v>990</v>
      </c>
      <c r="J16" s="7" t="s">
        <v>41</v>
      </c>
      <c r="K16" s="13">
        <v>46313.0</v>
      </c>
      <c r="L16" s="5"/>
    </row>
    <row r="17">
      <c r="A17" s="4">
        <v>10.0</v>
      </c>
      <c r="B17" s="4" t="s">
        <v>995</v>
      </c>
      <c r="C17" s="4" t="s">
        <v>997</v>
      </c>
      <c r="D17" s="4" t="s">
        <v>96</v>
      </c>
      <c r="E17" s="4" t="s">
        <v>61</v>
      </c>
      <c r="F17" s="4" t="s">
        <v>999</v>
      </c>
      <c r="G17" s="4" t="s">
        <v>1001</v>
      </c>
      <c r="H17" s="4" t="s">
        <v>1002</v>
      </c>
      <c r="I17" s="4" t="s">
        <v>1004</v>
      </c>
      <c r="J17" s="7" t="s">
        <v>41</v>
      </c>
      <c r="K17" s="13">
        <v>46313.0</v>
      </c>
      <c r="L17" s="5"/>
    </row>
    <row r="18">
      <c r="A18" s="4">
        <v>11.0</v>
      </c>
      <c r="B18" s="4" t="s">
        <v>1008</v>
      </c>
      <c r="C18" s="4" t="s">
        <v>1009</v>
      </c>
      <c r="D18" s="4" t="s">
        <v>1011</v>
      </c>
      <c r="E18" s="4" t="s">
        <v>61</v>
      </c>
      <c r="F18" s="4" t="s">
        <v>1015</v>
      </c>
      <c r="G18" s="4" t="s">
        <v>1016</v>
      </c>
      <c r="H18" s="4" t="s">
        <v>1017</v>
      </c>
      <c r="I18" s="4" t="s">
        <v>1019</v>
      </c>
      <c r="J18" s="7" t="s">
        <v>41</v>
      </c>
      <c r="K18" s="13">
        <v>46313.0</v>
      </c>
      <c r="L18" s="7" t="s">
        <v>903</v>
      </c>
    </row>
    <row r="19">
      <c r="A19" s="4">
        <v>12.0</v>
      </c>
      <c r="B19" s="4" t="s">
        <v>1025</v>
      </c>
      <c r="C19" s="4" t="s">
        <v>1026</v>
      </c>
      <c r="D19" s="4" t="s">
        <v>161</v>
      </c>
      <c r="E19" s="4" t="s">
        <v>61</v>
      </c>
      <c r="F19" s="4" t="s">
        <v>1030</v>
      </c>
      <c r="G19" s="4" t="s">
        <v>1031</v>
      </c>
      <c r="H19" s="4" t="s">
        <v>1033</v>
      </c>
      <c r="I19" s="4" t="s">
        <v>1035</v>
      </c>
      <c r="J19" s="7" t="s">
        <v>41</v>
      </c>
      <c r="K19" s="13">
        <v>46313.0</v>
      </c>
      <c r="L19" s="7" t="s">
        <v>903</v>
      </c>
    </row>
    <row r="20">
      <c r="A20" s="6" t="s">
        <v>1040</v>
      </c>
      <c r="B20" s="8"/>
      <c r="C20" s="8"/>
      <c r="D20" s="8"/>
      <c r="E20" s="8"/>
      <c r="F20" s="8"/>
      <c r="G20" s="8"/>
      <c r="H20" s="8"/>
      <c r="I20" s="8"/>
      <c r="J20" s="8"/>
      <c r="K20" s="8"/>
      <c r="L20" s="8"/>
    </row>
    <row r="21" ht="15.75" customHeight="1">
      <c r="A21" s="4">
        <v>13.0</v>
      </c>
      <c r="B21" s="4" t="s">
        <v>1046</v>
      </c>
      <c r="C21" s="4" t="s">
        <v>1048</v>
      </c>
      <c r="D21" s="4" t="s">
        <v>60</v>
      </c>
      <c r="E21" s="4" t="s">
        <v>61</v>
      </c>
      <c r="F21" s="4" t="s">
        <v>1050</v>
      </c>
      <c r="G21" s="4" t="s">
        <v>1052</v>
      </c>
      <c r="H21" s="4" t="s">
        <v>1054</v>
      </c>
      <c r="I21" s="4" t="s">
        <v>1056</v>
      </c>
      <c r="J21" s="7" t="s">
        <v>41</v>
      </c>
      <c r="K21" s="13">
        <v>46313.0</v>
      </c>
      <c r="L21" s="5"/>
    </row>
    <row r="22" ht="15.75" customHeight="1">
      <c r="A22" s="4">
        <v>14.0</v>
      </c>
      <c r="B22" s="4" t="s">
        <v>1058</v>
      </c>
      <c r="C22" s="4" t="s">
        <v>1061</v>
      </c>
      <c r="D22" s="4" t="s">
        <v>1062</v>
      </c>
      <c r="E22" s="4" t="s">
        <v>61</v>
      </c>
      <c r="F22" s="4" t="s">
        <v>1063</v>
      </c>
      <c r="G22" s="4" t="s">
        <v>1065</v>
      </c>
      <c r="H22" s="4" t="s">
        <v>1066</v>
      </c>
      <c r="I22" s="4" t="s">
        <v>1068</v>
      </c>
      <c r="J22" s="7" t="s">
        <v>41</v>
      </c>
      <c r="K22" s="13">
        <v>46313.0</v>
      </c>
      <c r="L22" s="5"/>
    </row>
    <row r="23" ht="15.75" customHeight="1">
      <c r="A23" s="4">
        <v>15.0</v>
      </c>
      <c r="B23" s="4" t="s">
        <v>1072</v>
      </c>
      <c r="C23" s="4" t="s">
        <v>1074</v>
      </c>
      <c r="D23" s="4" t="s">
        <v>592</v>
      </c>
      <c r="E23" s="4" t="s">
        <v>61</v>
      </c>
      <c r="F23" s="4" t="s">
        <v>1078</v>
      </c>
      <c r="G23" s="4" t="s">
        <v>1079</v>
      </c>
      <c r="H23" s="4" t="s">
        <v>1082</v>
      </c>
      <c r="I23" s="4" t="s">
        <v>1085</v>
      </c>
      <c r="J23" s="7" t="s">
        <v>41</v>
      </c>
      <c r="K23" s="13">
        <v>46313.0</v>
      </c>
      <c r="L23" s="7" t="s">
        <v>1088</v>
      </c>
    </row>
    <row r="24" ht="15.75" customHeight="1">
      <c r="A24" s="6" t="s">
        <v>1089</v>
      </c>
      <c r="B24" s="8"/>
      <c r="C24" s="8"/>
      <c r="D24" s="8"/>
      <c r="E24" s="8"/>
      <c r="F24" s="8"/>
      <c r="G24" s="8"/>
      <c r="H24" s="8"/>
      <c r="I24" s="8"/>
      <c r="J24" s="8"/>
      <c r="K24" s="8"/>
      <c r="L24" s="8"/>
    </row>
    <row r="25" ht="15.75" customHeight="1">
      <c r="A25" s="4">
        <v>16.0</v>
      </c>
      <c r="B25" s="4" t="s">
        <v>1097</v>
      </c>
      <c r="C25" s="4" t="s">
        <v>1100</v>
      </c>
      <c r="D25" s="4" t="s">
        <v>734</v>
      </c>
      <c r="E25" s="4" t="s">
        <v>61</v>
      </c>
      <c r="F25" s="4" t="s">
        <v>1105</v>
      </c>
      <c r="G25" s="4" t="s">
        <v>1106</v>
      </c>
      <c r="H25" s="4" t="s">
        <v>1108</v>
      </c>
      <c r="I25" s="4" t="s">
        <v>1110</v>
      </c>
      <c r="J25" s="7" t="s">
        <v>41</v>
      </c>
      <c r="K25" s="13">
        <v>46313.0</v>
      </c>
      <c r="L25" s="5"/>
    </row>
    <row r="26" ht="15.75" customHeight="1">
      <c r="A26" s="4">
        <v>17.0</v>
      </c>
      <c r="B26" s="4" t="s">
        <v>1114</v>
      </c>
      <c r="C26" s="4" t="s">
        <v>1116</v>
      </c>
      <c r="D26" s="4" t="s">
        <v>91</v>
      </c>
      <c r="E26" s="4" t="s">
        <v>61</v>
      </c>
      <c r="F26" s="4" t="s">
        <v>1120</v>
      </c>
      <c r="G26" s="4" t="s">
        <v>1122</v>
      </c>
      <c r="H26" s="4" t="s">
        <v>1124</v>
      </c>
      <c r="I26" s="4" t="s">
        <v>1126</v>
      </c>
      <c r="J26" s="7" t="s">
        <v>41</v>
      </c>
      <c r="K26" s="13">
        <v>46313.0</v>
      </c>
      <c r="L26" s="5"/>
    </row>
    <row r="27" ht="15.75" customHeight="1">
      <c r="A27" s="4">
        <v>18.0</v>
      </c>
      <c r="B27" s="4" t="s">
        <v>1130</v>
      </c>
      <c r="C27" s="4" t="s">
        <v>1132</v>
      </c>
      <c r="D27" s="4" t="s">
        <v>1134</v>
      </c>
      <c r="E27" s="4" t="s">
        <v>61</v>
      </c>
      <c r="F27" s="4" t="s">
        <v>1135</v>
      </c>
      <c r="G27" s="4" t="s">
        <v>1137</v>
      </c>
      <c r="H27" s="4" t="s">
        <v>1139</v>
      </c>
      <c r="I27" s="4" t="s">
        <v>1142</v>
      </c>
      <c r="J27" s="7" t="s">
        <v>41</v>
      </c>
      <c r="K27" s="13">
        <v>46313.0</v>
      </c>
      <c r="L27" s="5"/>
    </row>
    <row r="28" ht="15.75" customHeight="1">
      <c r="A28" s="4">
        <v>19.0</v>
      </c>
      <c r="B28" s="4" t="s">
        <v>1145</v>
      </c>
      <c r="C28" s="4" t="s">
        <v>1147</v>
      </c>
      <c r="D28" s="4" t="s">
        <v>219</v>
      </c>
      <c r="E28" s="4" t="s">
        <v>61</v>
      </c>
      <c r="F28" s="4" t="s">
        <v>1149</v>
      </c>
      <c r="G28" s="4" t="s">
        <v>1150</v>
      </c>
      <c r="H28" s="4" t="s">
        <v>1152</v>
      </c>
      <c r="I28" s="4" t="s">
        <v>1154</v>
      </c>
      <c r="J28" s="7" t="s">
        <v>41</v>
      </c>
      <c r="K28" s="13">
        <v>46313.0</v>
      </c>
      <c r="L28" s="5"/>
    </row>
    <row r="29" ht="15.75" customHeight="1">
      <c r="A29" s="6" t="s">
        <v>1156</v>
      </c>
      <c r="B29" s="8"/>
      <c r="C29" s="8"/>
      <c r="D29" s="8"/>
      <c r="E29" s="8"/>
      <c r="F29" s="8"/>
      <c r="G29" s="8"/>
      <c r="H29" s="8"/>
      <c r="I29" s="8"/>
      <c r="J29" s="8"/>
      <c r="K29" s="8"/>
      <c r="L29" s="8"/>
    </row>
    <row r="30" ht="15.75" customHeight="1">
      <c r="A30" s="4">
        <v>20.0</v>
      </c>
      <c r="B30" s="4" t="s">
        <v>1163</v>
      </c>
      <c r="C30" s="4" t="s">
        <v>1164</v>
      </c>
      <c r="D30" s="4" t="s">
        <v>772</v>
      </c>
      <c r="E30" s="4" t="s">
        <v>61</v>
      </c>
      <c r="F30" s="4" t="s">
        <v>1168</v>
      </c>
      <c r="G30" s="4" t="s">
        <v>1170</v>
      </c>
      <c r="H30" s="4" t="s">
        <v>1172</v>
      </c>
      <c r="I30" s="4" t="s">
        <v>1175</v>
      </c>
      <c r="J30" s="7" t="s">
        <v>41</v>
      </c>
      <c r="K30" s="13">
        <v>46313.0</v>
      </c>
      <c r="L30" s="5"/>
    </row>
    <row r="31" ht="15.75" customHeight="1">
      <c r="A31" s="4">
        <v>21.0</v>
      </c>
      <c r="B31" s="4" t="s">
        <v>1180</v>
      </c>
      <c r="C31" s="4" t="s">
        <v>1182</v>
      </c>
      <c r="D31" s="4" t="s">
        <v>1184</v>
      </c>
      <c r="E31" s="4" t="s">
        <v>61</v>
      </c>
      <c r="F31" s="4" t="s">
        <v>1188</v>
      </c>
      <c r="G31" s="4" t="s">
        <v>1190</v>
      </c>
      <c r="H31" s="4" t="s">
        <v>1193</v>
      </c>
      <c r="I31" s="4" t="s">
        <v>1196</v>
      </c>
      <c r="J31" s="7" t="s">
        <v>41</v>
      </c>
      <c r="K31" s="13">
        <v>46313.0</v>
      </c>
      <c r="L31" s="5"/>
    </row>
    <row r="32" ht="15.75" customHeight="1">
      <c r="A32" s="4">
        <v>22.0</v>
      </c>
      <c r="B32" s="4" t="s">
        <v>1201</v>
      </c>
      <c r="C32" s="4" t="s">
        <v>1205</v>
      </c>
      <c r="D32" s="4" t="s">
        <v>219</v>
      </c>
      <c r="E32" s="4" t="s">
        <v>61</v>
      </c>
      <c r="F32" s="4" t="s">
        <v>1208</v>
      </c>
      <c r="G32" s="4" t="s">
        <v>1210</v>
      </c>
      <c r="H32" s="4" t="s">
        <v>1213</v>
      </c>
      <c r="I32" s="4" t="s">
        <v>1215</v>
      </c>
      <c r="J32" s="7" t="s">
        <v>41</v>
      </c>
      <c r="K32" s="13">
        <v>46313.0</v>
      </c>
      <c r="L32" s="5"/>
    </row>
    <row r="33" ht="15.75" customHeight="1">
      <c r="A33" s="4">
        <v>23.0</v>
      </c>
      <c r="B33" s="4" t="s">
        <v>1223</v>
      </c>
      <c r="C33" s="4" t="s">
        <v>1224</v>
      </c>
      <c r="D33" s="4" t="s">
        <v>219</v>
      </c>
      <c r="E33" s="4" t="s">
        <v>61</v>
      </c>
      <c r="F33" s="4" t="s">
        <v>1229</v>
      </c>
      <c r="G33" s="4" t="s">
        <v>1231</v>
      </c>
      <c r="H33" s="4" t="s">
        <v>1232</v>
      </c>
      <c r="I33" s="4" t="s">
        <v>1235</v>
      </c>
      <c r="J33" s="7" t="s">
        <v>41</v>
      </c>
      <c r="K33" s="13">
        <v>46313.0</v>
      </c>
      <c r="L33" s="5"/>
    </row>
    <row r="34" ht="15.75" customHeight="1">
      <c r="A34" s="6" t="s">
        <v>1239</v>
      </c>
      <c r="B34" s="8"/>
      <c r="C34" s="8"/>
      <c r="D34" s="8"/>
      <c r="E34" s="8"/>
      <c r="F34" s="8"/>
      <c r="G34" s="8"/>
      <c r="H34" s="8"/>
      <c r="I34" s="8"/>
      <c r="J34" s="8"/>
      <c r="K34" s="8"/>
      <c r="L34" s="8"/>
    </row>
    <row r="35" ht="15.75" customHeight="1">
      <c r="A35" s="4">
        <v>24.0</v>
      </c>
      <c r="B35" s="4" t="s">
        <v>1246</v>
      </c>
      <c r="C35" s="4" t="s">
        <v>1248</v>
      </c>
      <c r="D35" s="4" t="s">
        <v>60</v>
      </c>
      <c r="E35" s="4" t="s">
        <v>61</v>
      </c>
      <c r="F35" s="4" t="s">
        <v>1250</v>
      </c>
      <c r="G35" s="4" t="s">
        <v>1252</v>
      </c>
      <c r="H35" s="4" t="s">
        <v>1254</v>
      </c>
      <c r="I35" s="4" t="s">
        <v>1256</v>
      </c>
      <c r="J35" s="7" t="s">
        <v>41</v>
      </c>
      <c r="K35" s="13">
        <v>46313.0</v>
      </c>
      <c r="L35" s="5"/>
    </row>
    <row r="36" ht="15.75" customHeight="1">
      <c r="A36" s="4">
        <v>25.0</v>
      </c>
      <c r="B36" s="4" t="s">
        <v>1260</v>
      </c>
      <c r="C36" s="4" t="s">
        <v>1262</v>
      </c>
      <c r="D36" s="4" t="s">
        <v>96</v>
      </c>
      <c r="E36" s="4" t="s">
        <v>61</v>
      </c>
      <c r="F36" s="4" t="s">
        <v>1265</v>
      </c>
      <c r="G36" s="4" t="s">
        <v>1266</v>
      </c>
      <c r="H36" s="4" t="s">
        <v>1268</v>
      </c>
      <c r="I36" s="4" t="s">
        <v>1272</v>
      </c>
      <c r="J36" s="7" t="s">
        <v>41</v>
      </c>
      <c r="K36" s="13">
        <v>46313.0</v>
      </c>
      <c r="L36" s="5"/>
    </row>
    <row r="37" ht="15.75" customHeight="1">
      <c r="A37" s="4">
        <v>26.0</v>
      </c>
      <c r="B37" s="4" t="s">
        <v>1279</v>
      </c>
      <c r="C37" s="4" t="s">
        <v>1281</v>
      </c>
      <c r="D37" s="4" t="s">
        <v>1282</v>
      </c>
      <c r="E37" s="4" t="s">
        <v>61</v>
      </c>
      <c r="F37" s="4" t="s">
        <v>1286</v>
      </c>
      <c r="G37" s="4" t="s">
        <v>1289</v>
      </c>
      <c r="H37" s="4" t="s">
        <v>1293</v>
      </c>
      <c r="I37" s="4" t="s">
        <v>1295</v>
      </c>
      <c r="J37" s="7" t="s">
        <v>41</v>
      </c>
      <c r="K37" s="13">
        <v>46313.0</v>
      </c>
      <c r="L37" s="5"/>
    </row>
    <row r="38" ht="15.75" customHeight="1">
      <c r="A38" s="4">
        <v>27.0</v>
      </c>
      <c r="B38" s="4" t="s">
        <v>1302</v>
      </c>
      <c r="C38" s="4" t="s">
        <v>1304</v>
      </c>
      <c r="D38" s="4" t="s">
        <v>973</v>
      </c>
      <c r="E38" s="4" t="s">
        <v>61</v>
      </c>
      <c r="F38" s="4" t="s">
        <v>1308</v>
      </c>
      <c r="G38" s="4" t="s">
        <v>1311</v>
      </c>
      <c r="H38" s="4" t="s">
        <v>1313</v>
      </c>
      <c r="I38" s="4" t="s">
        <v>1317</v>
      </c>
      <c r="J38" s="7" t="s">
        <v>41</v>
      </c>
      <c r="K38" s="13">
        <v>46313.0</v>
      </c>
      <c r="L38" s="5"/>
    </row>
    <row r="39" ht="15.75" customHeight="1">
      <c r="A39" s="4">
        <v>28.0</v>
      </c>
      <c r="B39" s="4" t="s">
        <v>1324</v>
      </c>
      <c r="C39" s="4" t="s">
        <v>1325</v>
      </c>
      <c r="D39" s="4" t="s">
        <v>280</v>
      </c>
      <c r="E39" s="4" t="s">
        <v>61</v>
      </c>
      <c r="F39" s="4" t="s">
        <v>1334</v>
      </c>
      <c r="G39" s="4" t="s">
        <v>1338</v>
      </c>
      <c r="H39" s="4" t="s">
        <v>1341</v>
      </c>
      <c r="I39" s="4" t="s">
        <v>1343</v>
      </c>
      <c r="J39" s="7" t="s">
        <v>41</v>
      </c>
      <c r="K39" s="13">
        <v>46313.0</v>
      </c>
      <c r="L39" s="5"/>
    </row>
    <row r="40" ht="15.75" customHeight="1">
      <c r="A40" s="4">
        <v>29.0</v>
      </c>
      <c r="B40" s="4" t="s">
        <v>1350</v>
      </c>
      <c r="C40" s="4" t="s">
        <v>1351</v>
      </c>
      <c r="D40" s="4" t="s">
        <v>1352</v>
      </c>
      <c r="E40" s="4" t="s">
        <v>61</v>
      </c>
      <c r="F40" s="4" t="s">
        <v>1354</v>
      </c>
      <c r="G40" s="4" t="s">
        <v>1356</v>
      </c>
      <c r="H40" s="4" t="s">
        <v>1358</v>
      </c>
      <c r="I40" s="4" t="s">
        <v>1361</v>
      </c>
      <c r="J40" s="7" t="s">
        <v>41</v>
      </c>
      <c r="K40" s="13">
        <v>46313.0</v>
      </c>
      <c r="L40" s="5"/>
    </row>
    <row r="41" ht="15.75" customHeight="1">
      <c r="A41" s="4">
        <v>30.0</v>
      </c>
      <c r="B41" s="4" t="s">
        <v>1365</v>
      </c>
      <c r="C41" s="4" t="s">
        <v>1368</v>
      </c>
      <c r="D41" s="4" t="s">
        <v>1369</v>
      </c>
      <c r="E41" s="4" t="s">
        <v>61</v>
      </c>
      <c r="F41" s="4" t="s">
        <v>1372</v>
      </c>
      <c r="G41" s="4" t="s">
        <v>1373</v>
      </c>
      <c r="H41" s="4" t="s">
        <v>1376</v>
      </c>
      <c r="I41" s="4" t="s">
        <v>1379</v>
      </c>
      <c r="J41" s="7" t="s">
        <v>41</v>
      </c>
      <c r="K41" s="13">
        <v>46313.0</v>
      </c>
      <c r="L41" s="5"/>
    </row>
    <row r="42" ht="15.75" customHeight="1">
      <c r="A42" s="4">
        <v>31.0</v>
      </c>
      <c r="B42" s="4" t="s">
        <v>1384</v>
      </c>
      <c r="C42" s="4" t="s">
        <v>1385</v>
      </c>
      <c r="D42" s="4" t="s">
        <v>495</v>
      </c>
      <c r="E42" s="4" t="s">
        <v>61</v>
      </c>
      <c r="F42" s="4" t="s">
        <v>1388</v>
      </c>
      <c r="G42" s="4" t="s">
        <v>1391</v>
      </c>
      <c r="H42" s="4" t="s">
        <v>1393</v>
      </c>
      <c r="I42" s="4" t="s">
        <v>1395</v>
      </c>
      <c r="J42" s="7" t="s">
        <v>41</v>
      </c>
      <c r="K42" s="13">
        <v>46313.0</v>
      </c>
      <c r="L42" s="5"/>
    </row>
    <row r="43" ht="15.75" customHeight="1">
      <c r="A43" s="6" t="s">
        <v>1400</v>
      </c>
      <c r="B43" s="8"/>
      <c r="C43" s="8"/>
      <c r="D43" s="8"/>
      <c r="E43" s="8"/>
      <c r="F43" s="8"/>
      <c r="G43" s="8"/>
      <c r="H43" s="8"/>
      <c r="I43" s="8"/>
      <c r="J43" s="8"/>
      <c r="K43" s="8"/>
      <c r="L43" s="8"/>
    </row>
    <row r="44" ht="15.75" customHeight="1">
      <c r="A44" s="4">
        <v>32.0</v>
      </c>
      <c r="B44" s="4" t="s">
        <v>1408</v>
      </c>
      <c r="C44" s="4" t="s">
        <v>1409</v>
      </c>
      <c r="D44" s="4" t="s">
        <v>91</v>
      </c>
      <c r="E44" s="4" t="s">
        <v>61</v>
      </c>
      <c r="F44" s="4" t="s">
        <v>1412</v>
      </c>
      <c r="G44" s="4" t="s">
        <v>1413</v>
      </c>
      <c r="H44" s="4" t="s">
        <v>1415</v>
      </c>
      <c r="I44" s="4" t="s">
        <v>1417</v>
      </c>
      <c r="J44" s="7" t="s">
        <v>41</v>
      </c>
      <c r="K44" s="13">
        <v>46313.0</v>
      </c>
      <c r="L44" s="5"/>
    </row>
    <row r="45" ht="15.75" customHeight="1">
      <c r="A45" s="4">
        <v>33.0</v>
      </c>
      <c r="B45" s="4" t="s">
        <v>1420</v>
      </c>
      <c r="C45" s="4" t="s">
        <v>1422</v>
      </c>
      <c r="D45" s="4" t="s">
        <v>219</v>
      </c>
      <c r="E45" s="4" t="s">
        <v>61</v>
      </c>
      <c r="F45" s="4" t="s">
        <v>1425</v>
      </c>
      <c r="G45" s="4" t="s">
        <v>1426</v>
      </c>
      <c r="H45" s="4" t="s">
        <v>1428</v>
      </c>
      <c r="I45" s="4" t="s">
        <v>1430</v>
      </c>
      <c r="J45" s="7" t="s">
        <v>41</v>
      </c>
      <c r="K45" s="13">
        <v>46313.0</v>
      </c>
      <c r="L45" s="5"/>
    </row>
    <row r="46" ht="15.75" customHeight="1">
      <c r="A46" s="4">
        <v>34.0</v>
      </c>
      <c r="B46" s="4" t="s">
        <v>1435</v>
      </c>
      <c r="C46" s="4" t="s">
        <v>1436</v>
      </c>
      <c r="D46" s="4" t="s">
        <v>425</v>
      </c>
      <c r="E46" s="4" t="s">
        <v>61</v>
      </c>
      <c r="F46" s="4" t="s">
        <v>1439</v>
      </c>
      <c r="G46" s="4" t="s">
        <v>1441</v>
      </c>
      <c r="H46" s="4" t="s">
        <v>1443</v>
      </c>
      <c r="I46" s="4" t="s">
        <v>1444</v>
      </c>
      <c r="J46" s="7" t="s">
        <v>41</v>
      </c>
      <c r="K46" s="13">
        <v>46313.0</v>
      </c>
      <c r="L46" s="5"/>
    </row>
    <row r="47" ht="15.75" customHeight="1">
      <c r="A47" s="4">
        <v>35.0</v>
      </c>
      <c r="B47" s="4" t="s">
        <v>1452</v>
      </c>
      <c r="C47" s="4" t="s">
        <v>1454</v>
      </c>
      <c r="D47" s="4" t="s">
        <v>145</v>
      </c>
      <c r="E47" s="4" t="s">
        <v>61</v>
      </c>
      <c r="F47" s="4" t="s">
        <v>1459</v>
      </c>
      <c r="G47" s="4" t="s">
        <v>1460</v>
      </c>
      <c r="H47" s="4" t="s">
        <v>1463</v>
      </c>
      <c r="I47" s="4" t="s">
        <v>1465</v>
      </c>
      <c r="J47" s="7" t="s">
        <v>41</v>
      </c>
      <c r="K47" s="13">
        <v>46313.0</v>
      </c>
      <c r="L47" s="5"/>
    </row>
    <row r="48" ht="15.75" customHeight="1">
      <c r="A48" s="4">
        <v>36.0</v>
      </c>
      <c r="B48" s="4" t="s">
        <v>1470</v>
      </c>
      <c r="C48" s="4" t="s">
        <v>1472</v>
      </c>
      <c r="D48" s="4" t="s">
        <v>364</v>
      </c>
      <c r="E48" s="4" t="s">
        <v>987</v>
      </c>
      <c r="F48" s="4" t="s">
        <v>1474</v>
      </c>
      <c r="G48" s="4" t="s">
        <v>1477</v>
      </c>
      <c r="H48" s="4" t="s">
        <v>1479</v>
      </c>
      <c r="I48" s="4" t="s">
        <v>1480</v>
      </c>
      <c r="J48" s="7" t="s">
        <v>41</v>
      </c>
      <c r="K48" s="13">
        <v>46313.0</v>
      </c>
      <c r="L48" s="5"/>
    </row>
    <row r="49" ht="15.75" customHeight="1">
      <c r="A49" s="4">
        <v>37.0</v>
      </c>
      <c r="B49" s="4" t="s">
        <v>1485</v>
      </c>
      <c r="C49" s="4" t="s">
        <v>1487</v>
      </c>
      <c r="D49" s="4" t="s">
        <v>1488</v>
      </c>
      <c r="E49" s="4" t="s">
        <v>61</v>
      </c>
      <c r="F49" s="4" t="s">
        <v>1490</v>
      </c>
      <c r="G49" s="4" t="s">
        <v>1492</v>
      </c>
      <c r="H49" s="4" t="s">
        <v>1495</v>
      </c>
      <c r="I49" s="4" t="s">
        <v>1497</v>
      </c>
      <c r="J49" s="7" t="s">
        <v>41</v>
      </c>
      <c r="K49" s="13">
        <v>46313.0</v>
      </c>
      <c r="L49" s="5"/>
    </row>
    <row r="50" ht="15.75" customHeight="1">
      <c r="A50" s="4">
        <v>38.0</v>
      </c>
      <c r="B50" s="4" t="s">
        <v>1502</v>
      </c>
      <c r="C50" s="4" t="s">
        <v>1504</v>
      </c>
      <c r="D50" s="4" t="s">
        <v>161</v>
      </c>
      <c r="E50" s="4" t="s">
        <v>61</v>
      </c>
      <c r="F50" s="4" t="s">
        <v>1505</v>
      </c>
      <c r="G50" s="4" t="s">
        <v>1508</v>
      </c>
      <c r="H50" s="4" t="s">
        <v>1509</v>
      </c>
      <c r="I50" s="4" t="s">
        <v>1512</v>
      </c>
      <c r="J50" s="7" t="s">
        <v>41</v>
      </c>
      <c r="K50" s="13">
        <v>46313.0</v>
      </c>
      <c r="L50" s="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5:J50">
    <cfRule type="cellIs" dxfId="0" priority="1" operator="equal">
      <formula>"Pass"</formula>
    </cfRule>
  </conditionalFormatting>
  <conditionalFormatting sqref="J5:J50">
    <cfRule type="cellIs" dxfId="1" priority="2" operator="equal">
      <formula>"Fail"</formula>
    </cfRule>
  </conditionalFormatting>
  <conditionalFormatting sqref="J5:J50">
    <cfRule type="cellIs" dxfId="2" priority="3" operator="equal">
      <formula>"Changed by design"</formula>
    </cfRule>
  </conditionalFormatting>
  <conditionalFormatting sqref="J5:J50">
    <cfRule type="cellIs" dxfId="3" priority="4" operator="equal">
      <formula>"Blocked"</formula>
    </cfRule>
  </conditionalFormatting>
  <dataValidations>
    <dataValidation type="list" allowBlank="1" sqref="J5:J50">
      <formula1>"Pass,Fail,Changed by design,Blocked"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14.0"/>
    <col customWidth="1" min="2" max="2" width="9.0"/>
    <col customWidth="1" min="3" max="3" width="12.0"/>
    <col customWidth="1" min="4" max="4" width="46.0"/>
    <col customWidth="1" min="5" max="5" width="10.0"/>
    <col customWidth="1" min="6" max="6" width="13.0"/>
    <col customWidth="1" min="7" max="7" width="70.0"/>
    <col customWidth="1" min="8" max="8" width="32.0"/>
    <col customWidth="1" min="9" max="9" width="30.0"/>
    <col customWidth="1" min="10" max="10" width="10.0"/>
    <col customWidth="1" min="11" max="26" width="8.71"/>
  </cols>
  <sheetData>
    <row r="1">
      <c r="A1" s="1" t="s">
        <v>803</v>
      </c>
    </row>
    <row r="2">
      <c r="A2" s="2" t="s">
        <v>806</v>
      </c>
    </row>
    <row r="4">
      <c r="A4" s="3" t="s">
        <v>15</v>
      </c>
      <c r="B4" s="3" t="s">
        <v>818</v>
      </c>
      <c r="C4" s="3" t="s">
        <v>820</v>
      </c>
      <c r="D4" s="3" t="s">
        <v>19</v>
      </c>
      <c r="E4" s="3" t="s">
        <v>21</v>
      </c>
      <c r="F4" s="3" t="s">
        <v>825</v>
      </c>
      <c r="G4" s="3" t="s">
        <v>829</v>
      </c>
      <c r="H4" s="3" t="s">
        <v>832</v>
      </c>
      <c r="I4" s="3" t="s">
        <v>833</v>
      </c>
      <c r="J4" s="3" t="s">
        <v>836</v>
      </c>
    </row>
    <row r="5">
      <c r="A5" s="4" t="s">
        <v>842</v>
      </c>
      <c r="B5" s="4" t="s">
        <v>843</v>
      </c>
      <c r="C5" s="4" t="s">
        <v>31</v>
      </c>
      <c r="D5" s="4" t="s">
        <v>846</v>
      </c>
      <c r="E5" s="4" t="s">
        <v>61</v>
      </c>
      <c r="F5" s="4" t="s">
        <v>859</v>
      </c>
      <c r="G5" s="4" t="s">
        <v>861</v>
      </c>
      <c r="H5" s="4" t="s">
        <v>862</v>
      </c>
      <c r="I5" s="4" t="s">
        <v>863</v>
      </c>
      <c r="J5" s="5"/>
    </row>
    <row r="6">
      <c r="A6" s="4" t="s">
        <v>871</v>
      </c>
      <c r="B6" s="4" t="s">
        <v>843</v>
      </c>
      <c r="C6" s="4" t="s">
        <v>31</v>
      </c>
      <c r="D6" s="4" t="s">
        <v>876</v>
      </c>
      <c r="E6" s="4" t="s">
        <v>877</v>
      </c>
      <c r="F6" s="4" t="s">
        <v>880</v>
      </c>
      <c r="G6" s="4" t="s">
        <v>883</v>
      </c>
      <c r="H6" s="4" t="s">
        <v>884</v>
      </c>
      <c r="I6" s="4" t="s">
        <v>885</v>
      </c>
      <c r="J6" s="5"/>
    </row>
    <row r="7">
      <c r="A7" s="4" t="s">
        <v>888</v>
      </c>
      <c r="B7" s="4" t="s">
        <v>843</v>
      </c>
      <c r="C7" s="4" t="s">
        <v>31</v>
      </c>
      <c r="D7" s="4" t="s">
        <v>891</v>
      </c>
      <c r="E7" s="4" t="s">
        <v>877</v>
      </c>
      <c r="F7" s="4" t="s">
        <v>880</v>
      </c>
      <c r="G7" s="4" t="s">
        <v>883</v>
      </c>
      <c r="H7" s="4" t="s">
        <v>884</v>
      </c>
      <c r="I7" s="4" t="s">
        <v>885</v>
      </c>
      <c r="J7" s="5"/>
    </row>
    <row r="8">
      <c r="A8" s="4" t="s">
        <v>895</v>
      </c>
      <c r="B8" s="4" t="s">
        <v>843</v>
      </c>
      <c r="C8" s="4" t="s">
        <v>31</v>
      </c>
      <c r="D8" s="4" t="s">
        <v>901</v>
      </c>
      <c r="E8" s="4" t="s">
        <v>61</v>
      </c>
      <c r="F8" s="4" t="s">
        <v>880</v>
      </c>
      <c r="G8" s="4" t="s">
        <v>883</v>
      </c>
      <c r="H8" s="4" t="s">
        <v>884</v>
      </c>
      <c r="I8" s="4" t="s">
        <v>885</v>
      </c>
      <c r="J8" s="5"/>
    </row>
    <row r="9">
      <c r="A9" s="4" t="s">
        <v>908</v>
      </c>
      <c r="B9" s="4" t="s">
        <v>843</v>
      </c>
      <c r="C9" s="4" t="s">
        <v>31</v>
      </c>
      <c r="D9" s="4" t="s">
        <v>911</v>
      </c>
      <c r="E9" s="4" t="s">
        <v>61</v>
      </c>
      <c r="F9" s="4" t="s">
        <v>913</v>
      </c>
      <c r="G9" s="4" t="s">
        <v>883</v>
      </c>
      <c r="H9" s="4" t="s">
        <v>862</v>
      </c>
      <c r="I9" s="4" t="s">
        <v>917</v>
      </c>
      <c r="J9" s="5"/>
    </row>
    <row r="10">
      <c r="A10" s="4" t="s">
        <v>919</v>
      </c>
      <c r="B10" s="4" t="s">
        <v>843</v>
      </c>
      <c r="C10" s="4" t="s">
        <v>31</v>
      </c>
      <c r="D10" s="4" t="s">
        <v>922</v>
      </c>
      <c r="E10" s="4" t="s">
        <v>61</v>
      </c>
      <c r="F10" s="4" t="s">
        <v>880</v>
      </c>
      <c r="G10" s="4" t="s">
        <v>883</v>
      </c>
      <c r="H10" s="4" t="s">
        <v>884</v>
      </c>
      <c r="I10" s="4" t="s">
        <v>885</v>
      </c>
      <c r="J10" s="5"/>
    </row>
    <row r="11">
      <c r="A11" s="4" t="s">
        <v>928</v>
      </c>
      <c r="B11" s="4" t="s">
        <v>843</v>
      </c>
      <c r="C11" s="4" t="s">
        <v>31</v>
      </c>
      <c r="D11" s="4" t="s">
        <v>354</v>
      </c>
      <c r="E11" s="4" t="s">
        <v>61</v>
      </c>
      <c r="F11" s="4" t="s">
        <v>913</v>
      </c>
      <c r="G11" s="4" t="s">
        <v>883</v>
      </c>
      <c r="H11" s="4" t="s">
        <v>862</v>
      </c>
      <c r="I11" s="4" t="s">
        <v>934</v>
      </c>
      <c r="J11" s="5"/>
    </row>
    <row r="12">
      <c r="A12" s="4" t="s">
        <v>937</v>
      </c>
      <c r="B12" s="4" t="s">
        <v>843</v>
      </c>
      <c r="C12" s="4" t="s">
        <v>31</v>
      </c>
      <c r="D12" s="4" t="s">
        <v>363</v>
      </c>
      <c r="E12" s="4" t="s">
        <v>61</v>
      </c>
      <c r="F12" s="4" t="s">
        <v>913</v>
      </c>
      <c r="G12" s="4" t="s">
        <v>883</v>
      </c>
      <c r="H12" s="4" t="s">
        <v>862</v>
      </c>
      <c r="I12" s="4" t="s">
        <v>943</v>
      </c>
      <c r="J12" s="5"/>
    </row>
    <row r="13">
      <c r="A13" s="4" t="s">
        <v>946</v>
      </c>
      <c r="B13" s="4" t="s">
        <v>843</v>
      </c>
      <c r="C13" s="4" t="s">
        <v>31</v>
      </c>
      <c r="D13" s="4" t="s">
        <v>950</v>
      </c>
      <c r="E13" s="4" t="s">
        <v>61</v>
      </c>
      <c r="F13" s="4" t="s">
        <v>880</v>
      </c>
      <c r="G13" s="4" t="s">
        <v>883</v>
      </c>
      <c r="H13" s="4" t="s">
        <v>884</v>
      </c>
      <c r="I13" s="4" t="s">
        <v>885</v>
      </c>
      <c r="J13" s="5"/>
    </row>
    <row r="14">
      <c r="A14" s="4" t="s">
        <v>953</v>
      </c>
      <c r="B14" s="4" t="s">
        <v>843</v>
      </c>
      <c r="C14" s="4" t="s">
        <v>31</v>
      </c>
      <c r="D14" s="4" t="s">
        <v>958</v>
      </c>
      <c r="E14" s="4" t="s">
        <v>877</v>
      </c>
      <c r="F14" s="4" t="s">
        <v>880</v>
      </c>
      <c r="G14" s="4" t="s">
        <v>883</v>
      </c>
      <c r="H14" s="4" t="s">
        <v>884</v>
      </c>
      <c r="I14" s="4" t="s">
        <v>885</v>
      </c>
      <c r="J14" s="5"/>
    </row>
    <row r="15">
      <c r="A15" s="4" t="s">
        <v>966</v>
      </c>
      <c r="B15" s="4" t="s">
        <v>843</v>
      </c>
      <c r="C15" s="4" t="s">
        <v>31</v>
      </c>
      <c r="D15" s="4" t="s">
        <v>376</v>
      </c>
      <c r="E15" s="4" t="s">
        <v>61</v>
      </c>
      <c r="F15" s="4" t="s">
        <v>913</v>
      </c>
      <c r="G15" s="4" t="s">
        <v>883</v>
      </c>
      <c r="H15" s="4" t="s">
        <v>862</v>
      </c>
      <c r="I15" s="4" t="s">
        <v>972</v>
      </c>
      <c r="J15" s="5"/>
    </row>
    <row r="16">
      <c r="A16" s="4" t="s">
        <v>975</v>
      </c>
      <c r="B16" s="4" t="s">
        <v>843</v>
      </c>
      <c r="C16" s="4" t="s">
        <v>31</v>
      </c>
      <c r="D16" s="4" t="s">
        <v>978</v>
      </c>
      <c r="E16" s="4" t="s">
        <v>61</v>
      </c>
      <c r="F16" s="4" t="s">
        <v>880</v>
      </c>
      <c r="G16" s="4" t="s">
        <v>883</v>
      </c>
      <c r="H16" s="4" t="s">
        <v>884</v>
      </c>
      <c r="I16" s="4" t="s">
        <v>885</v>
      </c>
      <c r="J16" s="5"/>
    </row>
    <row r="17">
      <c r="A17" s="4" t="s">
        <v>983</v>
      </c>
      <c r="B17" s="4" t="s">
        <v>843</v>
      </c>
      <c r="C17" s="4" t="s">
        <v>31</v>
      </c>
      <c r="D17" s="4" t="s">
        <v>985</v>
      </c>
      <c r="E17" s="4" t="s">
        <v>987</v>
      </c>
      <c r="F17" s="4" t="s">
        <v>880</v>
      </c>
      <c r="G17" s="4" t="s">
        <v>883</v>
      </c>
      <c r="H17" s="4" t="s">
        <v>884</v>
      </c>
      <c r="I17" s="4" t="s">
        <v>885</v>
      </c>
      <c r="J17" s="5"/>
    </row>
    <row r="18">
      <c r="A18" s="4" t="s">
        <v>993</v>
      </c>
      <c r="B18" s="4" t="s">
        <v>843</v>
      </c>
      <c r="C18" s="4" t="s">
        <v>31</v>
      </c>
      <c r="D18" s="4" t="s">
        <v>994</v>
      </c>
      <c r="E18" s="4" t="s">
        <v>987</v>
      </c>
      <c r="F18" s="4" t="s">
        <v>880</v>
      </c>
      <c r="G18" s="4" t="s">
        <v>883</v>
      </c>
      <c r="H18" s="4" t="s">
        <v>884</v>
      </c>
      <c r="I18" s="4" t="s">
        <v>885</v>
      </c>
      <c r="J18" s="5"/>
    </row>
    <row r="19">
      <c r="A19" s="4" t="s">
        <v>1003</v>
      </c>
      <c r="B19" s="4" t="s">
        <v>1005</v>
      </c>
      <c r="C19" s="4" t="s">
        <v>46</v>
      </c>
      <c r="D19" s="4" t="s">
        <v>1007</v>
      </c>
      <c r="E19" s="4" t="s">
        <v>61</v>
      </c>
      <c r="F19" s="4" t="s">
        <v>880</v>
      </c>
      <c r="G19" s="4" t="s">
        <v>883</v>
      </c>
      <c r="H19" s="4" t="s">
        <v>862</v>
      </c>
      <c r="I19" s="4" t="s">
        <v>1010</v>
      </c>
      <c r="J19" s="5"/>
    </row>
    <row r="20">
      <c r="A20" s="4" t="s">
        <v>1014</v>
      </c>
      <c r="B20" s="4" t="s">
        <v>1005</v>
      </c>
      <c r="C20" s="4" t="s">
        <v>46</v>
      </c>
      <c r="D20" s="4" t="s">
        <v>404</v>
      </c>
      <c r="E20" s="4" t="s">
        <v>61</v>
      </c>
      <c r="F20" s="4" t="s">
        <v>913</v>
      </c>
      <c r="G20" s="4" t="s">
        <v>883</v>
      </c>
      <c r="H20" s="4" t="s">
        <v>862</v>
      </c>
      <c r="I20" s="4" t="s">
        <v>1022</v>
      </c>
      <c r="J20" s="5"/>
    </row>
    <row r="21" ht="15.75" customHeight="1">
      <c r="A21" s="4" t="s">
        <v>1024</v>
      </c>
      <c r="B21" s="4" t="s">
        <v>1005</v>
      </c>
      <c r="C21" s="4" t="s">
        <v>46</v>
      </c>
      <c r="D21" s="4" t="s">
        <v>414</v>
      </c>
      <c r="E21" s="4" t="s">
        <v>61</v>
      </c>
      <c r="F21" s="4" t="s">
        <v>913</v>
      </c>
      <c r="G21" s="4" t="s">
        <v>883</v>
      </c>
      <c r="H21" s="4" t="s">
        <v>862</v>
      </c>
      <c r="I21" s="4" t="s">
        <v>1032</v>
      </c>
      <c r="J21" s="5"/>
    </row>
    <row r="22" ht="15.75" customHeight="1">
      <c r="A22" s="4" t="s">
        <v>1036</v>
      </c>
      <c r="B22" s="4" t="s">
        <v>1005</v>
      </c>
      <c r="C22" s="4" t="s">
        <v>46</v>
      </c>
      <c r="D22" s="4" t="s">
        <v>1039</v>
      </c>
      <c r="E22" s="4" t="s">
        <v>61</v>
      </c>
      <c r="F22" s="4" t="s">
        <v>880</v>
      </c>
      <c r="G22" s="4" t="s">
        <v>883</v>
      </c>
      <c r="H22" s="4" t="s">
        <v>862</v>
      </c>
      <c r="I22" s="4" t="s">
        <v>1042</v>
      </c>
      <c r="J22" s="5"/>
    </row>
    <row r="23" ht="15.75" customHeight="1">
      <c r="A23" s="4" t="s">
        <v>1043</v>
      </c>
      <c r="B23" s="4" t="s">
        <v>1005</v>
      </c>
      <c r="C23" s="4" t="s">
        <v>46</v>
      </c>
      <c r="D23" s="4" t="s">
        <v>1049</v>
      </c>
      <c r="E23" s="4" t="s">
        <v>877</v>
      </c>
      <c r="F23" s="4" t="s">
        <v>880</v>
      </c>
      <c r="G23" s="4" t="s">
        <v>883</v>
      </c>
      <c r="H23" s="4" t="s">
        <v>884</v>
      </c>
      <c r="I23" s="4" t="s">
        <v>885</v>
      </c>
      <c r="J23" s="5"/>
    </row>
    <row r="24" ht="15.75" customHeight="1">
      <c r="A24" s="4" t="s">
        <v>1057</v>
      </c>
      <c r="B24" s="4" t="s">
        <v>1005</v>
      </c>
      <c r="C24" s="4" t="s">
        <v>46</v>
      </c>
      <c r="D24" s="4" t="s">
        <v>1059</v>
      </c>
      <c r="E24" s="4" t="s">
        <v>987</v>
      </c>
      <c r="F24" s="4" t="s">
        <v>880</v>
      </c>
      <c r="G24" s="4" t="s">
        <v>883</v>
      </c>
      <c r="H24" s="4" t="s">
        <v>884</v>
      </c>
      <c r="I24" s="4" t="s">
        <v>885</v>
      </c>
      <c r="J24" s="5"/>
    </row>
    <row r="25" ht="15.75" customHeight="1">
      <c r="A25" s="4" t="s">
        <v>1067</v>
      </c>
      <c r="B25" s="4" t="s">
        <v>1005</v>
      </c>
      <c r="C25" s="4" t="s">
        <v>46</v>
      </c>
      <c r="D25" s="4" t="s">
        <v>1069</v>
      </c>
      <c r="E25" s="4" t="s">
        <v>877</v>
      </c>
      <c r="F25" s="4" t="s">
        <v>880</v>
      </c>
      <c r="G25" s="4" t="s">
        <v>883</v>
      </c>
      <c r="H25" s="4" t="s">
        <v>884</v>
      </c>
      <c r="I25" s="4" t="s">
        <v>885</v>
      </c>
      <c r="J25" s="5"/>
    </row>
    <row r="26" ht="15.75" customHeight="1">
      <c r="A26" s="4" t="s">
        <v>1075</v>
      </c>
      <c r="B26" s="4" t="s">
        <v>1077</v>
      </c>
      <c r="C26" s="4" t="s">
        <v>80</v>
      </c>
      <c r="D26" s="4" t="s">
        <v>1081</v>
      </c>
      <c r="E26" s="4" t="s">
        <v>877</v>
      </c>
      <c r="F26" s="4" t="s">
        <v>1084</v>
      </c>
      <c r="G26" s="4" t="s">
        <v>1086</v>
      </c>
      <c r="H26" s="4" t="s">
        <v>884</v>
      </c>
      <c r="I26" s="4" t="s">
        <v>885</v>
      </c>
      <c r="J26" s="5"/>
    </row>
    <row r="27" ht="15.75" customHeight="1">
      <c r="A27" s="4" t="s">
        <v>1090</v>
      </c>
      <c r="B27" s="4" t="s">
        <v>1092</v>
      </c>
      <c r="C27" s="4" t="s">
        <v>76</v>
      </c>
      <c r="D27" s="4" t="s">
        <v>1094</v>
      </c>
      <c r="E27" s="4" t="s">
        <v>61</v>
      </c>
      <c r="F27" s="4" t="s">
        <v>1096</v>
      </c>
      <c r="G27" s="4" t="s">
        <v>1098</v>
      </c>
      <c r="H27" s="4" t="s">
        <v>862</v>
      </c>
      <c r="I27" s="4" t="s">
        <v>1101</v>
      </c>
      <c r="J27" s="5"/>
    </row>
    <row r="28" ht="15.75" customHeight="1">
      <c r="A28" s="4" t="s">
        <v>1103</v>
      </c>
      <c r="B28" s="4" t="s">
        <v>1092</v>
      </c>
      <c r="C28" s="4" t="s">
        <v>76</v>
      </c>
      <c r="D28" s="4" t="s">
        <v>1107</v>
      </c>
      <c r="E28" s="4" t="s">
        <v>61</v>
      </c>
      <c r="F28" s="4" t="s">
        <v>1084</v>
      </c>
      <c r="G28" s="4" t="s">
        <v>1086</v>
      </c>
      <c r="H28" s="4" t="s">
        <v>884</v>
      </c>
      <c r="I28" s="4" t="s">
        <v>885</v>
      </c>
      <c r="J28" s="5"/>
    </row>
    <row r="29" ht="15.75" customHeight="1">
      <c r="A29" s="4" t="s">
        <v>1113</v>
      </c>
      <c r="B29" s="4" t="s">
        <v>1092</v>
      </c>
      <c r="C29" s="4" t="s">
        <v>76</v>
      </c>
      <c r="D29" s="4" t="s">
        <v>1118</v>
      </c>
      <c r="E29" s="4" t="s">
        <v>61</v>
      </c>
      <c r="F29" s="4" t="s">
        <v>1121</v>
      </c>
      <c r="G29" s="4" t="s">
        <v>1086</v>
      </c>
      <c r="H29" s="4" t="s">
        <v>862</v>
      </c>
      <c r="I29" s="4" t="s">
        <v>1125</v>
      </c>
      <c r="J29" s="5"/>
    </row>
    <row r="30" ht="15.75" customHeight="1">
      <c r="A30" s="4" t="s">
        <v>1128</v>
      </c>
      <c r="B30" s="4" t="s">
        <v>1092</v>
      </c>
      <c r="C30" s="4" t="s">
        <v>76</v>
      </c>
      <c r="D30" s="4" t="s">
        <v>1131</v>
      </c>
      <c r="E30" s="4" t="s">
        <v>987</v>
      </c>
      <c r="F30" s="4" t="s">
        <v>1084</v>
      </c>
      <c r="G30" s="4" t="s">
        <v>1086</v>
      </c>
      <c r="H30" s="4" t="s">
        <v>884</v>
      </c>
      <c r="I30" s="4" t="s">
        <v>885</v>
      </c>
      <c r="J30" s="5"/>
    </row>
    <row r="31" ht="15.75" customHeight="1">
      <c r="A31" s="4" t="s">
        <v>1141</v>
      </c>
      <c r="B31" s="4" t="s">
        <v>1092</v>
      </c>
      <c r="C31" s="4" t="s">
        <v>76</v>
      </c>
      <c r="D31" s="4" t="s">
        <v>1144</v>
      </c>
      <c r="E31" s="4" t="s">
        <v>877</v>
      </c>
      <c r="F31" s="4" t="s">
        <v>1084</v>
      </c>
      <c r="G31" s="4" t="s">
        <v>1086</v>
      </c>
      <c r="H31" s="4" t="s">
        <v>884</v>
      </c>
      <c r="I31" s="4" t="s">
        <v>885</v>
      </c>
      <c r="J31" s="5"/>
    </row>
    <row r="32" ht="15.75" customHeight="1">
      <c r="A32" s="4" t="s">
        <v>1148</v>
      </c>
      <c r="B32" s="4" t="s">
        <v>1092</v>
      </c>
      <c r="C32" s="4" t="s">
        <v>76</v>
      </c>
      <c r="D32" s="4" t="s">
        <v>1151</v>
      </c>
      <c r="E32" s="4" t="s">
        <v>877</v>
      </c>
      <c r="F32" s="4" t="s">
        <v>1084</v>
      </c>
      <c r="G32" s="4" t="s">
        <v>1086</v>
      </c>
      <c r="H32" s="4" t="s">
        <v>884</v>
      </c>
      <c r="I32" s="4" t="s">
        <v>885</v>
      </c>
      <c r="J32" s="5"/>
    </row>
    <row r="33" ht="15.75" customHeight="1">
      <c r="A33" s="4" t="s">
        <v>1158</v>
      </c>
      <c r="B33" s="4" t="s">
        <v>1092</v>
      </c>
      <c r="C33" s="4" t="s">
        <v>76</v>
      </c>
      <c r="D33" s="4" t="s">
        <v>1161</v>
      </c>
      <c r="E33" s="4" t="s">
        <v>987</v>
      </c>
      <c r="F33" s="4" t="s">
        <v>1084</v>
      </c>
      <c r="G33" s="4" t="s">
        <v>1086</v>
      </c>
      <c r="H33" s="4" t="s">
        <v>884</v>
      </c>
      <c r="I33" s="4" t="s">
        <v>885</v>
      </c>
      <c r="J33" s="5"/>
    </row>
    <row r="34" ht="15.75" customHeight="1">
      <c r="A34" s="4" t="s">
        <v>1166</v>
      </c>
      <c r="B34" s="4" t="s">
        <v>1092</v>
      </c>
      <c r="C34" s="4" t="s">
        <v>76</v>
      </c>
      <c r="D34" s="4" t="s">
        <v>1169</v>
      </c>
      <c r="E34" s="4" t="s">
        <v>61</v>
      </c>
      <c r="F34" s="4" t="s">
        <v>1174</v>
      </c>
      <c r="G34" s="4" t="s">
        <v>1177</v>
      </c>
      <c r="H34" s="4" t="s">
        <v>862</v>
      </c>
      <c r="I34" s="4" t="s">
        <v>1179</v>
      </c>
      <c r="J34" s="5"/>
    </row>
    <row r="35" ht="15.75" customHeight="1">
      <c r="A35" s="4" t="s">
        <v>1181</v>
      </c>
      <c r="B35" s="4" t="s">
        <v>1092</v>
      </c>
      <c r="C35" s="4" t="s">
        <v>76</v>
      </c>
      <c r="D35" s="4" t="s">
        <v>1187</v>
      </c>
      <c r="E35" s="4" t="s">
        <v>61</v>
      </c>
      <c r="F35" s="4" t="s">
        <v>1191</v>
      </c>
      <c r="G35" s="4" t="s">
        <v>1086</v>
      </c>
      <c r="H35" s="4" t="s">
        <v>862</v>
      </c>
      <c r="I35" s="4" t="s">
        <v>1197</v>
      </c>
      <c r="J35" s="5"/>
    </row>
    <row r="36" ht="15.75" customHeight="1">
      <c r="A36" s="4" t="s">
        <v>1200</v>
      </c>
      <c r="B36" s="4" t="s">
        <v>1092</v>
      </c>
      <c r="C36" s="4" t="s">
        <v>76</v>
      </c>
      <c r="D36" s="4" t="s">
        <v>1203</v>
      </c>
      <c r="E36" s="4" t="s">
        <v>987</v>
      </c>
      <c r="F36" s="4" t="s">
        <v>1084</v>
      </c>
      <c r="G36" s="4" t="s">
        <v>1086</v>
      </c>
      <c r="H36" s="4" t="s">
        <v>884</v>
      </c>
      <c r="I36" s="4" t="s">
        <v>885</v>
      </c>
      <c r="J36" s="5"/>
    </row>
    <row r="37" ht="15.75" customHeight="1">
      <c r="A37" s="4" t="s">
        <v>1218</v>
      </c>
      <c r="B37" s="4" t="s">
        <v>1092</v>
      </c>
      <c r="C37" s="4" t="s">
        <v>76</v>
      </c>
      <c r="D37" s="4" t="s">
        <v>1220</v>
      </c>
      <c r="E37" s="4" t="s">
        <v>877</v>
      </c>
      <c r="F37" s="4" t="s">
        <v>1084</v>
      </c>
      <c r="G37" s="4" t="s">
        <v>1086</v>
      </c>
      <c r="H37" s="4" t="s">
        <v>884</v>
      </c>
      <c r="I37" s="4" t="s">
        <v>885</v>
      </c>
      <c r="J37" s="5"/>
    </row>
    <row r="38" ht="15.75" customHeight="1">
      <c r="A38" s="4" t="s">
        <v>1230</v>
      </c>
      <c r="B38" s="4" t="s">
        <v>1092</v>
      </c>
      <c r="C38" s="4" t="s">
        <v>76</v>
      </c>
      <c r="D38" s="4" t="s">
        <v>1233</v>
      </c>
      <c r="E38" s="4" t="s">
        <v>877</v>
      </c>
      <c r="F38" s="4" t="s">
        <v>1084</v>
      </c>
      <c r="G38" s="4" t="s">
        <v>1086</v>
      </c>
      <c r="H38" s="4" t="s">
        <v>884</v>
      </c>
      <c r="I38" s="4" t="s">
        <v>885</v>
      </c>
      <c r="J38" s="5"/>
    </row>
    <row r="39" ht="15.75" customHeight="1">
      <c r="A39" s="4" t="s">
        <v>1241</v>
      </c>
      <c r="B39" s="4" t="s">
        <v>1243</v>
      </c>
      <c r="C39" s="4" t="s">
        <v>80</v>
      </c>
      <c r="D39" s="4" t="s">
        <v>1244</v>
      </c>
      <c r="E39" s="4" t="s">
        <v>61</v>
      </c>
      <c r="F39" s="4" t="s">
        <v>1191</v>
      </c>
      <c r="G39" s="4" t="s">
        <v>1086</v>
      </c>
      <c r="H39" s="4" t="s">
        <v>862</v>
      </c>
      <c r="I39" s="4" t="s">
        <v>1247</v>
      </c>
      <c r="J39" s="5"/>
    </row>
    <row r="40" ht="15.75" customHeight="1">
      <c r="A40" s="4" t="s">
        <v>1249</v>
      </c>
      <c r="B40" s="4" t="s">
        <v>1243</v>
      </c>
      <c r="C40" s="4" t="s">
        <v>80</v>
      </c>
      <c r="D40" s="4" t="s">
        <v>1251</v>
      </c>
      <c r="E40" s="4" t="s">
        <v>61</v>
      </c>
      <c r="F40" s="4" t="s">
        <v>1084</v>
      </c>
      <c r="G40" s="4" t="s">
        <v>1086</v>
      </c>
      <c r="H40" s="4" t="s">
        <v>884</v>
      </c>
      <c r="I40" s="4" t="s">
        <v>885</v>
      </c>
      <c r="J40" s="5"/>
    </row>
    <row r="41" ht="15.75" customHeight="1">
      <c r="A41" s="4" t="s">
        <v>1259</v>
      </c>
      <c r="B41" s="4" t="s">
        <v>1243</v>
      </c>
      <c r="C41" s="4" t="s">
        <v>80</v>
      </c>
      <c r="D41" s="4" t="s">
        <v>1264</v>
      </c>
      <c r="E41" s="4" t="s">
        <v>61</v>
      </c>
      <c r="F41" s="4" t="s">
        <v>1084</v>
      </c>
      <c r="G41" s="4" t="s">
        <v>1086</v>
      </c>
      <c r="H41" s="4" t="s">
        <v>862</v>
      </c>
      <c r="I41" s="4" t="s">
        <v>1269</v>
      </c>
      <c r="J41" s="5"/>
    </row>
    <row r="42" ht="15.75" customHeight="1">
      <c r="A42" s="4" t="s">
        <v>1274</v>
      </c>
      <c r="B42" s="4" t="s">
        <v>1243</v>
      </c>
      <c r="C42" s="4" t="s">
        <v>80</v>
      </c>
      <c r="D42" s="4" t="s">
        <v>1278</v>
      </c>
      <c r="E42" s="4" t="s">
        <v>987</v>
      </c>
      <c r="F42" s="4" t="s">
        <v>1084</v>
      </c>
      <c r="G42" s="4" t="s">
        <v>1086</v>
      </c>
      <c r="H42" s="4" t="s">
        <v>884</v>
      </c>
      <c r="I42" s="4" t="s">
        <v>885</v>
      </c>
      <c r="J42" s="5"/>
    </row>
    <row r="43" ht="15.75" customHeight="1">
      <c r="A43" s="4" t="s">
        <v>1287</v>
      </c>
      <c r="B43" s="4" t="s">
        <v>1243</v>
      </c>
      <c r="C43" s="4" t="s">
        <v>80</v>
      </c>
      <c r="D43" s="4" t="s">
        <v>1292</v>
      </c>
      <c r="E43" s="4" t="s">
        <v>877</v>
      </c>
      <c r="F43" s="4" t="s">
        <v>1084</v>
      </c>
      <c r="G43" s="4" t="s">
        <v>1086</v>
      </c>
      <c r="H43" s="4" t="s">
        <v>884</v>
      </c>
      <c r="I43" s="4" t="s">
        <v>885</v>
      </c>
      <c r="J43" s="5"/>
    </row>
    <row r="44" ht="15.75" customHeight="1">
      <c r="A44" s="4" t="s">
        <v>1301</v>
      </c>
      <c r="B44" s="4" t="s">
        <v>1243</v>
      </c>
      <c r="C44" s="4" t="s">
        <v>80</v>
      </c>
      <c r="D44" s="4" t="s">
        <v>1307</v>
      </c>
      <c r="E44" s="4" t="s">
        <v>987</v>
      </c>
      <c r="F44" s="4" t="s">
        <v>1084</v>
      </c>
      <c r="G44" s="4" t="s">
        <v>1086</v>
      </c>
      <c r="H44" s="4" t="s">
        <v>884</v>
      </c>
      <c r="I44" s="4" t="s">
        <v>885</v>
      </c>
      <c r="J44" s="5"/>
    </row>
    <row r="45" ht="15.75" customHeight="1">
      <c r="A45" s="4" t="s">
        <v>1321</v>
      </c>
      <c r="B45" s="4" t="s">
        <v>1243</v>
      </c>
      <c r="C45" s="4" t="s">
        <v>80</v>
      </c>
      <c r="D45" s="4" t="s">
        <v>1328</v>
      </c>
      <c r="E45" s="4" t="s">
        <v>877</v>
      </c>
      <c r="F45" s="4" t="s">
        <v>1084</v>
      </c>
      <c r="G45" s="4" t="s">
        <v>1086</v>
      </c>
      <c r="H45" s="4" t="s">
        <v>884</v>
      </c>
      <c r="I45" s="4" t="s">
        <v>885</v>
      </c>
      <c r="J45" s="5"/>
    </row>
    <row r="46" ht="15.75" customHeight="1">
      <c r="A46" s="4" t="s">
        <v>1347</v>
      </c>
      <c r="B46" s="4" t="s">
        <v>1243</v>
      </c>
      <c r="C46" s="4" t="s">
        <v>80</v>
      </c>
      <c r="D46" s="4" t="s">
        <v>921</v>
      </c>
      <c r="E46" s="4" t="s">
        <v>61</v>
      </c>
      <c r="F46" s="4" t="s">
        <v>1084</v>
      </c>
      <c r="G46" s="4" t="s">
        <v>1086</v>
      </c>
      <c r="H46" s="4" t="s">
        <v>862</v>
      </c>
      <c r="I46" s="4" t="s">
        <v>1359</v>
      </c>
      <c r="J46" s="5"/>
    </row>
    <row r="47" ht="15.75" customHeight="1">
      <c r="A47" s="4" t="s">
        <v>1362</v>
      </c>
      <c r="B47" s="4" t="s">
        <v>1243</v>
      </c>
      <c r="C47" s="4" t="s">
        <v>80</v>
      </c>
      <c r="D47" s="4" t="s">
        <v>1366</v>
      </c>
      <c r="E47" s="4" t="s">
        <v>61</v>
      </c>
      <c r="F47" s="4" t="s">
        <v>1084</v>
      </c>
      <c r="G47" s="4" t="s">
        <v>1086</v>
      </c>
      <c r="H47" s="4" t="s">
        <v>862</v>
      </c>
      <c r="I47" s="4" t="s">
        <v>1374</v>
      </c>
      <c r="J47" s="5"/>
    </row>
    <row r="48" ht="15.75" customHeight="1">
      <c r="A48" s="4" t="s">
        <v>1380</v>
      </c>
      <c r="B48" s="4" t="s">
        <v>1243</v>
      </c>
      <c r="C48" s="4" t="s">
        <v>80</v>
      </c>
      <c r="D48" s="4" t="s">
        <v>1382</v>
      </c>
      <c r="E48" s="4" t="s">
        <v>61</v>
      </c>
      <c r="F48" s="4" t="s">
        <v>1084</v>
      </c>
      <c r="G48" s="4" t="s">
        <v>1086</v>
      </c>
      <c r="H48" s="4" t="s">
        <v>884</v>
      </c>
      <c r="I48" s="4" t="s">
        <v>885</v>
      </c>
      <c r="J48" s="5"/>
    </row>
    <row r="49" ht="15.75" customHeight="1">
      <c r="A49" s="4" t="s">
        <v>1389</v>
      </c>
      <c r="B49" s="4" t="s">
        <v>1243</v>
      </c>
      <c r="C49" s="4" t="s">
        <v>80</v>
      </c>
      <c r="D49" s="4" t="s">
        <v>1392</v>
      </c>
      <c r="E49" s="4" t="s">
        <v>987</v>
      </c>
      <c r="F49" s="4" t="s">
        <v>1084</v>
      </c>
      <c r="G49" s="4" t="s">
        <v>1086</v>
      </c>
      <c r="H49" s="4" t="s">
        <v>884</v>
      </c>
      <c r="I49" s="4" t="s">
        <v>885</v>
      </c>
      <c r="J49" s="5"/>
    </row>
    <row r="50" ht="15.75" customHeight="1">
      <c r="A50" s="4" t="s">
        <v>1398</v>
      </c>
      <c r="B50" s="4" t="s">
        <v>1243</v>
      </c>
      <c r="C50" s="4" t="s">
        <v>80</v>
      </c>
      <c r="D50" s="4" t="s">
        <v>1401</v>
      </c>
      <c r="E50" s="4" t="s">
        <v>987</v>
      </c>
      <c r="F50" s="4" t="s">
        <v>1084</v>
      </c>
      <c r="G50" s="4" t="s">
        <v>1086</v>
      </c>
      <c r="H50" s="4" t="s">
        <v>884</v>
      </c>
      <c r="I50" s="4" t="s">
        <v>885</v>
      </c>
      <c r="J50" s="5"/>
    </row>
    <row r="51" ht="15.75" customHeight="1">
      <c r="A51" s="4" t="s">
        <v>1404</v>
      </c>
      <c r="B51" s="4" t="s">
        <v>1243</v>
      </c>
      <c r="C51" s="4" t="s">
        <v>80</v>
      </c>
      <c r="D51" s="4" t="s">
        <v>1406</v>
      </c>
      <c r="E51" s="4" t="s">
        <v>987</v>
      </c>
      <c r="F51" s="4" t="s">
        <v>1084</v>
      </c>
      <c r="G51" s="4" t="s">
        <v>1086</v>
      </c>
      <c r="H51" s="4" t="s">
        <v>884</v>
      </c>
      <c r="I51" s="4" t="s">
        <v>885</v>
      </c>
      <c r="J51" s="5"/>
    </row>
    <row r="52" ht="15.75" customHeight="1">
      <c r="A52" s="4" t="s">
        <v>1411</v>
      </c>
      <c r="B52" s="4" t="s">
        <v>1243</v>
      </c>
      <c r="C52" s="4" t="s">
        <v>80</v>
      </c>
      <c r="D52" s="4" t="s">
        <v>1414</v>
      </c>
      <c r="E52" s="4" t="s">
        <v>987</v>
      </c>
      <c r="F52" s="4" t="s">
        <v>1084</v>
      </c>
      <c r="G52" s="4" t="s">
        <v>1086</v>
      </c>
      <c r="H52" s="4" t="s">
        <v>884</v>
      </c>
      <c r="I52" s="4" t="s">
        <v>885</v>
      </c>
      <c r="J52" s="5"/>
    </row>
    <row r="53" ht="15.75" customHeight="1">
      <c r="A53" s="4" t="s">
        <v>1423</v>
      </c>
      <c r="B53" s="4" t="s">
        <v>1243</v>
      </c>
      <c r="C53" s="4" t="s">
        <v>80</v>
      </c>
      <c r="D53" s="4" t="s">
        <v>1427</v>
      </c>
      <c r="E53" s="4" t="s">
        <v>877</v>
      </c>
      <c r="F53" s="4" t="s">
        <v>1084</v>
      </c>
      <c r="G53" s="4" t="s">
        <v>1086</v>
      </c>
      <c r="H53" s="4" t="s">
        <v>884</v>
      </c>
      <c r="I53" s="4" t="s">
        <v>885</v>
      </c>
      <c r="J53" s="5"/>
    </row>
    <row r="54" ht="15.75" customHeight="1">
      <c r="A54" s="4" t="s">
        <v>1431</v>
      </c>
      <c r="B54" s="4" t="s">
        <v>1433</v>
      </c>
      <c r="C54" s="4" t="s">
        <v>46</v>
      </c>
      <c r="D54" s="4" t="s">
        <v>1434</v>
      </c>
      <c r="E54" s="4" t="s">
        <v>987</v>
      </c>
      <c r="F54" s="4" t="s">
        <v>1084</v>
      </c>
      <c r="G54" s="4" t="s">
        <v>1086</v>
      </c>
      <c r="H54" s="4" t="s">
        <v>884</v>
      </c>
      <c r="I54" s="4" t="s">
        <v>885</v>
      </c>
      <c r="J54" s="5"/>
    </row>
    <row r="55" ht="15.75" customHeight="1">
      <c r="A55" s="4" t="s">
        <v>1438</v>
      </c>
      <c r="B55" s="4" t="s">
        <v>1433</v>
      </c>
      <c r="C55" s="4" t="s">
        <v>46</v>
      </c>
      <c r="D55" s="4" t="s">
        <v>1440</v>
      </c>
      <c r="E55" s="4" t="s">
        <v>61</v>
      </c>
      <c r="F55" s="4" t="s">
        <v>1084</v>
      </c>
      <c r="G55" s="4" t="s">
        <v>1086</v>
      </c>
      <c r="H55" s="4" t="s">
        <v>862</v>
      </c>
      <c r="I55" s="4" t="s">
        <v>1445</v>
      </c>
      <c r="J55" s="5"/>
    </row>
    <row r="56" ht="15.75" customHeight="1">
      <c r="A56" s="4" t="s">
        <v>1446</v>
      </c>
      <c r="B56" s="4" t="s">
        <v>1433</v>
      </c>
      <c r="C56" s="4" t="s">
        <v>46</v>
      </c>
      <c r="D56" s="4" t="s">
        <v>1449</v>
      </c>
      <c r="E56" s="4" t="s">
        <v>987</v>
      </c>
      <c r="F56" s="4" t="s">
        <v>1084</v>
      </c>
      <c r="G56" s="4" t="s">
        <v>1086</v>
      </c>
      <c r="H56" s="4" t="s">
        <v>884</v>
      </c>
      <c r="I56" s="4" t="s">
        <v>885</v>
      </c>
      <c r="J56" s="5"/>
    </row>
    <row r="57" ht="15.75" customHeight="1">
      <c r="A57" s="4" t="s">
        <v>1453</v>
      </c>
      <c r="B57" s="4" t="s">
        <v>1433</v>
      </c>
      <c r="C57" s="4" t="s">
        <v>46</v>
      </c>
      <c r="D57" s="4" t="s">
        <v>1456</v>
      </c>
      <c r="E57" s="4" t="s">
        <v>987</v>
      </c>
      <c r="F57" s="4" t="s">
        <v>1084</v>
      </c>
      <c r="G57" s="4" t="s">
        <v>1086</v>
      </c>
      <c r="H57" s="4" t="s">
        <v>884</v>
      </c>
      <c r="I57" s="4" t="s">
        <v>885</v>
      </c>
      <c r="J57" s="5"/>
    </row>
    <row r="58" ht="15.75" customHeight="1">
      <c r="A58" s="4" t="s">
        <v>1462</v>
      </c>
      <c r="B58" s="4" t="s">
        <v>1433</v>
      </c>
      <c r="C58" s="4" t="s">
        <v>46</v>
      </c>
      <c r="D58" s="4" t="s">
        <v>1464</v>
      </c>
      <c r="E58" s="4" t="s">
        <v>61</v>
      </c>
      <c r="F58" s="4" t="s">
        <v>1084</v>
      </c>
      <c r="G58" s="4" t="s">
        <v>1086</v>
      </c>
      <c r="H58" s="4" t="s">
        <v>862</v>
      </c>
      <c r="I58" s="4" t="s">
        <v>1467</v>
      </c>
      <c r="J58" s="5"/>
    </row>
    <row r="59" ht="15.75" customHeight="1">
      <c r="A59" s="4" t="s">
        <v>1469</v>
      </c>
      <c r="B59" s="4" t="s">
        <v>1433</v>
      </c>
      <c r="C59" s="4" t="s">
        <v>46</v>
      </c>
      <c r="D59" s="4" t="s">
        <v>1471</v>
      </c>
      <c r="E59" s="4" t="s">
        <v>61</v>
      </c>
      <c r="F59" s="4" t="s">
        <v>1084</v>
      </c>
      <c r="G59" s="4" t="s">
        <v>1086</v>
      </c>
      <c r="H59" s="4" t="s">
        <v>884</v>
      </c>
      <c r="I59" s="4" t="s">
        <v>885</v>
      </c>
      <c r="J59" s="5"/>
    </row>
    <row r="60" ht="15.75" customHeight="1">
      <c r="A60" s="4" t="s">
        <v>1475</v>
      </c>
      <c r="B60" s="4" t="s">
        <v>1433</v>
      </c>
      <c r="C60" s="4" t="s">
        <v>46</v>
      </c>
      <c r="D60" s="4" t="s">
        <v>1478</v>
      </c>
      <c r="E60" s="4" t="s">
        <v>877</v>
      </c>
      <c r="F60" s="4" t="s">
        <v>1084</v>
      </c>
      <c r="G60" s="4" t="s">
        <v>1086</v>
      </c>
      <c r="H60" s="4" t="s">
        <v>884</v>
      </c>
      <c r="I60" s="4" t="s">
        <v>885</v>
      </c>
      <c r="J60" s="5"/>
    </row>
    <row r="61" ht="15.75" customHeight="1">
      <c r="A61" s="4" t="s">
        <v>1483</v>
      </c>
      <c r="B61" s="4" t="s">
        <v>1433</v>
      </c>
      <c r="C61" s="4" t="s">
        <v>46</v>
      </c>
      <c r="D61" s="4" t="s">
        <v>1486</v>
      </c>
      <c r="E61" s="4" t="s">
        <v>987</v>
      </c>
      <c r="F61" s="4" t="s">
        <v>1084</v>
      </c>
      <c r="G61" s="4" t="s">
        <v>1086</v>
      </c>
      <c r="H61" s="4" t="s">
        <v>884</v>
      </c>
      <c r="I61" s="4" t="s">
        <v>885</v>
      </c>
      <c r="J61" s="5"/>
    </row>
    <row r="62" ht="15.75" customHeight="1">
      <c r="A62" s="4" t="s">
        <v>1491</v>
      </c>
      <c r="B62" s="4" t="s">
        <v>1433</v>
      </c>
      <c r="C62" s="4" t="s">
        <v>46</v>
      </c>
      <c r="D62" s="4" t="s">
        <v>1494</v>
      </c>
      <c r="E62" s="4" t="s">
        <v>61</v>
      </c>
      <c r="F62" s="4" t="s">
        <v>1084</v>
      </c>
      <c r="G62" s="4" t="s">
        <v>1086</v>
      </c>
      <c r="H62" s="4" t="s">
        <v>884</v>
      </c>
      <c r="I62" s="4" t="s">
        <v>885</v>
      </c>
      <c r="J62" s="5"/>
    </row>
    <row r="63" ht="15.75" customHeight="1">
      <c r="A63" s="4" t="s">
        <v>1499</v>
      </c>
      <c r="B63" s="4" t="s">
        <v>1433</v>
      </c>
      <c r="C63" s="4" t="s">
        <v>46</v>
      </c>
      <c r="D63" s="4" t="s">
        <v>1500</v>
      </c>
      <c r="E63" s="4" t="s">
        <v>987</v>
      </c>
      <c r="F63" s="4" t="s">
        <v>1084</v>
      </c>
      <c r="G63" s="4" t="s">
        <v>1086</v>
      </c>
      <c r="H63" s="4" t="s">
        <v>884</v>
      </c>
      <c r="I63" s="4" t="s">
        <v>885</v>
      </c>
      <c r="J63" s="5"/>
    </row>
    <row r="64" ht="15.75" customHeight="1">
      <c r="A64" s="4" t="s">
        <v>1507</v>
      </c>
      <c r="B64" s="4" t="s">
        <v>1433</v>
      </c>
      <c r="C64" s="4" t="s">
        <v>46</v>
      </c>
      <c r="D64" s="4" t="s">
        <v>1510</v>
      </c>
      <c r="E64" s="4" t="s">
        <v>877</v>
      </c>
      <c r="F64" s="4" t="s">
        <v>1084</v>
      </c>
      <c r="G64" s="4" t="s">
        <v>1086</v>
      </c>
      <c r="H64" s="4" t="s">
        <v>884</v>
      </c>
      <c r="I64" s="4" t="s">
        <v>885</v>
      </c>
      <c r="J64" s="5"/>
    </row>
    <row r="65" ht="15.75" customHeight="1">
      <c r="A65" s="4" t="s">
        <v>1515</v>
      </c>
      <c r="B65" s="4" t="s">
        <v>1466</v>
      </c>
      <c r="C65" s="4" t="s">
        <v>80</v>
      </c>
      <c r="D65" s="4" t="s">
        <v>1517</v>
      </c>
      <c r="E65" s="4" t="s">
        <v>61</v>
      </c>
      <c r="F65" s="4" t="s">
        <v>1084</v>
      </c>
      <c r="G65" s="4" t="s">
        <v>1086</v>
      </c>
      <c r="H65" s="4" t="s">
        <v>862</v>
      </c>
      <c r="I65" s="4" t="s">
        <v>1520</v>
      </c>
      <c r="J65" s="5"/>
    </row>
    <row r="66" ht="15.75" customHeight="1">
      <c r="A66" s="4" t="s">
        <v>1522</v>
      </c>
      <c r="B66" s="4" t="s">
        <v>1466</v>
      </c>
      <c r="C66" s="4" t="s">
        <v>80</v>
      </c>
      <c r="D66" s="4" t="s">
        <v>1524</v>
      </c>
      <c r="E66" s="4" t="s">
        <v>61</v>
      </c>
      <c r="F66" s="4" t="s">
        <v>1084</v>
      </c>
      <c r="G66" s="4" t="s">
        <v>1086</v>
      </c>
      <c r="H66" s="4" t="s">
        <v>884</v>
      </c>
      <c r="I66" s="4" t="s">
        <v>885</v>
      </c>
      <c r="J66" s="5"/>
    </row>
    <row r="67" ht="15.75" customHeight="1">
      <c r="A67" s="4" t="s">
        <v>1527</v>
      </c>
      <c r="B67" s="4" t="s">
        <v>1466</v>
      </c>
      <c r="C67" s="4" t="s">
        <v>80</v>
      </c>
      <c r="D67" s="4" t="s">
        <v>1528</v>
      </c>
      <c r="E67" s="4" t="s">
        <v>61</v>
      </c>
      <c r="F67" s="4" t="s">
        <v>1084</v>
      </c>
      <c r="G67" s="4" t="s">
        <v>1086</v>
      </c>
      <c r="H67" s="4" t="s">
        <v>884</v>
      </c>
      <c r="I67" s="4" t="s">
        <v>885</v>
      </c>
      <c r="J67" s="5"/>
    </row>
    <row r="68" ht="15.75" customHeight="1">
      <c r="A68" s="4" t="s">
        <v>1531</v>
      </c>
      <c r="B68" s="4" t="s">
        <v>1466</v>
      </c>
      <c r="C68" s="4" t="s">
        <v>80</v>
      </c>
      <c r="D68" s="4" t="s">
        <v>1533</v>
      </c>
      <c r="E68" s="4" t="s">
        <v>877</v>
      </c>
      <c r="F68" s="4" t="s">
        <v>1084</v>
      </c>
      <c r="G68" s="4" t="s">
        <v>1086</v>
      </c>
      <c r="H68" s="4" t="s">
        <v>884</v>
      </c>
      <c r="I68" s="4" t="s">
        <v>885</v>
      </c>
      <c r="J68" s="5"/>
    </row>
    <row r="69" ht="15.75" customHeight="1">
      <c r="A69" s="4" t="s">
        <v>1536</v>
      </c>
      <c r="B69" s="4" t="s">
        <v>1466</v>
      </c>
      <c r="C69" s="4" t="s">
        <v>80</v>
      </c>
      <c r="D69" s="4" t="s">
        <v>1537</v>
      </c>
      <c r="E69" s="4" t="s">
        <v>877</v>
      </c>
      <c r="F69" s="4" t="s">
        <v>1084</v>
      </c>
      <c r="G69" s="4" t="s">
        <v>1086</v>
      </c>
      <c r="H69" s="4" t="s">
        <v>884</v>
      </c>
      <c r="I69" s="4" t="s">
        <v>885</v>
      </c>
      <c r="J69" s="5"/>
    </row>
    <row r="70" ht="15.75" customHeight="1">
      <c r="A70" s="4" t="s">
        <v>1538</v>
      </c>
      <c r="B70" s="4" t="s">
        <v>1466</v>
      </c>
      <c r="C70" s="4" t="s">
        <v>80</v>
      </c>
      <c r="D70" s="4" t="s">
        <v>713</v>
      </c>
      <c r="E70" s="4" t="s">
        <v>61</v>
      </c>
      <c r="F70" s="4" t="s">
        <v>1084</v>
      </c>
      <c r="G70" s="4" t="s">
        <v>1086</v>
      </c>
      <c r="H70" s="4" t="s">
        <v>862</v>
      </c>
      <c r="I70" s="4" t="s">
        <v>1540</v>
      </c>
      <c r="J70" s="5"/>
    </row>
    <row r="71" ht="15.75" customHeight="1">
      <c r="A71" s="4" t="s">
        <v>1542</v>
      </c>
      <c r="B71" s="4" t="s">
        <v>1466</v>
      </c>
      <c r="C71" s="4" t="s">
        <v>80</v>
      </c>
      <c r="D71" s="4" t="s">
        <v>1543</v>
      </c>
      <c r="E71" s="4" t="s">
        <v>61</v>
      </c>
      <c r="F71" s="4" t="s">
        <v>1084</v>
      </c>
      <c r="G71" s="4" t="s">
        <v>1086</v>
      </c>
      <c r="H71" s="4" t="s">
        <v>862</v>
      </c>
      <c r="I71" s="4" t="s">
        <v>1545</v>
      </c>
      <c r="J71" s="5"/>
    </row>
    <row r="72" ht="15.75" customHeight="1">
      <c r="A72" s="4" t="s">
        <v>1546</v>
      </c>
      <c r="B72" s="4" t="s">
        <v>1466</v>
      </c>
      <c r="C72" s="4" t="s">
        <v>80</v>
      </c>
      <c r="D72" s="4" t="s">
        <v>1549</v>
      </c>
      <c r="E72" s="4" t="s">
        <v>987</v>
      </c>
      <c r="F72" s="4" t="s">
        <v>1084</v>
      </c>
      <c r="G72" s="4" t="s">
        <v>1086</v>
      </c>
      <c r="H72" s="4" t="s">
        <v>884</v>
      </c>
      <c r="I72" s="4" t="s">
        <v>885</v>
      </c>
      <c r="J72" s="5"/>
    </row>
    <row r="73" ht="15.75" customHeight="1">
      <c r="A73" s="4" t="s">
        <v>1552</v>
      </c>
      <c r="B73" s="4" t="s">
        <v>1466</v>
      </c>
      <c r="C73" s="4" t="s">
        <v>80</v>
      </c>
      <c r="D73" s="4" t="s">
        <v>1553</v>
      </c>
      <c r="E73" s="4" t="s">
        <v>987</v>
      </c>
      <c r="F73" s="4" t="s">
        <v>1084</v>
      </c>
      <c r="G73" s="4" t="s">
        <v>1086</v>
      </c>
      <c r="H73" s="4" t="s">
        <v>884</v>
      </c>
      <c r="I73" s="4" t="s">
        <v>885</v>
      </c>
      <c r="J73" s="5"/>
    </row>
    <row r="74" ht="15.75" customHeight="1">
      <c r="A74" s="4" t="s">
        <v>1557</v>
      </c>
      <c r="B74" s="4" t="s">
        <v>1525</v>
      </c>
      <c r="C74" s="4" t="s">
        <v>31</v>
      </c>
      <c r="D74" s="4" t="s">
        <v>307</v>
      </c>
      <c r="E74" s="4" t="s">
        <v>61</v>
      </c>
      <c r="F74" s="4" t="s">
        <v>1559</v>
      </c>
      <c r="G74" s="4" t="s">
        <v>1086</v>
      </c>
      <c r="H74" s="4" t="s">
        <v>862</v>
      </c>
      <c r="I74" s="4" t="s">
        <v>1562</v>
      </c>
      <c r="J74" s="5"/>
    </row>
    <row r="75" ht="15.75" customHeight="1">
      <c r="A75" s="4" t="s">
        <v>1563</v>
      </c>
      <c r="B75" s="4" t="s">
        <v>1525</v>
      </c>
      <c r="C75" s="4" t="s">
        <v>31</v>
      </c>
      <c r="D75" s="4" t="s">
        <v>1565</v>
      </c>
      <c r="E75" s="4" t="s">
        <v>61</v>
      </c>
      <c r="F75" s="4" t="s">
        <v>1084</v>
      </c>
      <c r="G75" s="4" t="s">
        <v>1086</v>
      </c>
      <c r="H75" s="4" t="s">
        <v>884</v>
      </c>
      <c r="I75" s="4" t="s">
        <v>885</v>
      </c>
      <c r="J75" s="5"/>
    </row>
    <row r="76" ht="15.75" customHeight="1">
      <c r="A76" s="4" t="s">
        <v>1569</v>
      </c>
      <c r="B76" s="4" t="s">
        <v>1547</v>
      </c>
      <c r="C76" s="4" t="s">
        <v>76</v>
      </c>
      <c r="D76" s="4" t="s">
        <v>1571</v>
      </c>
      <c r="E76" s="4" t="s">
        <v>987</v>
      </c>
      <c r="F76" s="4" t="s">
        <v>880</v>
      </c>
      <c r="G76" s="4" t="s">
        <v>883</v>
      </c>
      <c r="H76" s="4" t="s">
        <v>884</v>
      </c>
      <c r="I76" s="4" t="s">
        <v>885</v>
      </c>
      <c r="J76" s="5"/>
    </row>
    <row r="77" ht="15.75" customHeight="1">
      <c r="A77" s="4" t="s">
        <v>1574</v>
      </c>
      <c r="B77" s="4" t="s">
        <v>1547</v>
      </c>
      <c r="C77" s="4" t="s">
        <v>76</v>
      </c>
      <c r="D77" s="4" t="s">
        <v>1576</v>
      </c>
      <c r="E77" s="4" t="s">
        <v>61</v>
      </c>
      <c r="F77" s="4" t="s">
        <v>880</v>
      </c>
      <c r="G77" s="4" t="s">
        <v>883</v>
      </c>
      <c r="H77" s="4" t="s">
        <v>862</v>
      </c>
      <c r="I77" s="4" t="s">
        <v>1578</v>
      </c>
      <c r="J77" s="5"/>
    </row>
    <row r="78" ht="15.75" customHeight="1">
      <c r="A78" s="4" t="s">
        <v>1580</v>
      </c>
      <c r="B78" s="4" t="s">
        <v>1547</v>
      </c>
      <c r="C78" s="4" t="s">
        <v>76</v>
      </c>
      <c r="D78" s="4" t="s">
        <v>1582</v>
      </c>
      <c r="E78" s="4" t="s">
        <v>987</v>
      </c>
      <c r="F78" s="4" t="s">
        <v>880</v>
      </c>
      <c r="G78" s="4" t="s">
        <v>883</v>
      </c>
      <c r="H78" s="4" t="s">
        <v>884</v>
      </c>
      <c r="I78" s="4" t="s">
        <v>885</v>
      </c>
      <c r="J78" s="5"/>
    </row>
    <row r="79" ht="15.75" customHeight="1">
      <c r="A79" s="4" t="s">
        <v>1585</v>
      </c>
      <c r="B79" s="4" t="s">
        <v>1558</v>
      </c>
      <c r="C79" s="4" t="s">
        <v>80</v>
      </c>
      <c r="D79" s="4" t="s">
        <v>1045</v>
      </c>
      <c r="E79" s="4" t="s">
        <v>61</v>
      </c>
      <c r="F79" s="4" t="s">
        <v>913</v>
      </c>
      <c r="G79" s="4" t="s">
        <v>883</v>
      </c>
      <c r="H79" s="4" t="s">
        <v>862</v>
      </c>
      <c r="I79" s="4" t="s">
        <v>1589</v>
      </c>
      <c r="J79" s="5"/>
    </row>
    <row r="80" ht="15.75" customHeight="1">
      <c r="A80" s="4" t="s">
        <v>1591</v>
      </c>
      <c r="B80" s="4" t="s">
        <v>1558</v>
      </c>
      <c r="C80" s="4" t="s">
        <v>80</v>
      </c>
      <c r="D80" s="4" t="s">
        <v>1592</v>
      </c>
      <c r="E80" s="4" t="s">
        <v>877</v>
      </c>
      <c r="F80" s="4" t="s">
        <v>880</v>
      </c>
      <c r="G80" s="4" t="s">
        <v>883</v>
      </c>
      <c r="H80" s="4" t="s">
        <v>884</v>
      </c>
      <c r="I80" s="4" t="s">
        <v>885</v>
      </c>
      <c r="J80" s="5"/>
    </row>
    <row r="81" ht="15.75" customHeight="1">
      <c r="A81" s="4" t="s">
        <v>1596</v>
      </c>
      <c r="B81" s="4" t="s">
        <v>1566</v>
      </c>
      <c r="C81" s="4" t="s">
        <v>31</v>
      </c>
      <c r="D81" s="4" t="s">
        <v>1598</v>
      </c>
      <c r="E81" s="4" t="s">
        <v>61</v>
      </c>
      <c r="F81" s="4" t="s">
        <v>913</v>
      </c>
      <c r="G81" s="4" t="s">
        <v>883</v>
      </c>
      <c r="H81" s="4" t="s">
        <v>862</v>
      </c>
      <c r="I81" s="4" t="s">
        <v>1601</v>
      </c>
      <c r="J81" s="5"/>
    </row>
    <row r="82" ht="15.75" customHeight="1">
      <c r="A82" s="4" t="s">
        <v>1603</v>
      </c>
      <c r="B82" s="4" t="s">
        <v>1566</v>
      </c>
      <c r="C82" s="4" t="s">
        <v>31</v>
      </c>
      <c r="D82" s="4" t="s">
        <v>1604</v>
      </c>
      <c r="E82" s="4" t="s">
        <v>61</v>
      </c>
      <c r="F82" s="4" t="s">
        <v>880</v>
      </c>
      <c r="G82" s="4" t="s">
        <v>883</v>
      </c>
      <c r="H82" s="4" t="s">
        <v>862</v>
      </c>
      <c r="I82" s="4" t="s">
        <v>1607</v>
      </c>
      <c r="J82" s="5"/>
    </row>
    <row r="83" ht="15.75" customHeight="1">
      <c r="A83" s="4" t="s">
        <v>1609</v>
      </c>
      <c r="B83" s="4" t="s">
        <v>1566</v>
      </c>
      <c r="C83" s="4" t="s">
        <v>31</v>
      </c>
      <c r="D83" s="4" t="s">
        <v>1611</v>
      </c>
      <c r="E83" s="4" t="s">
        <v>61</v>
      </c>
      <c r="F83" s="4" t="s">
        <v>913</v>
      </c>
      <c r="G83" s="4" t="s">
        <v>883</v>
      </c>
      <c r="H83" s="4" t="s">
        <v>862</v>
      </c>
      <c r="I83" s="4" t="s">
        <v>1612</v>
      </c>
      <c r="J83" s="5"/>
    </row>
    <row r="84" ht="15.75" customHeight="1">
      <c r="A84" s="4" t="s">
        <v>1613</v>
      </c>
      <c r="B84" s="4" t="s">
        <v>1586</v>
      </c>
      <c r="C84" s="4" t="s">
        <v>46</v>
      </c>
      <c r="D84" s="4" t="s">
        <v>1615</v>
      </c>
      <c r="E84" s="4" t="s">
        <v>987</v>
      </c>
      <c r="F84" s="4" t="s">
        <v>880</v>
      </c>
      <c r="G84" s="4" t="s">
        <v>883</v>
      </c>
      <c r="H84" s="4" t="s">
        <v>884</v>
      </c>
      <c r="I84" s="4" t="s">
        <v>885</v>
      </c>
      <c r="J84" s="5"/>
    </row>
    <row r="85" ht="15.75" customHeight="1">
      <c r="A85" s="4" t="s">
        <v>1618</v>
      </c>
      <c r="B85" s="4" t="s">
        <v>1619</v>
      </c>
      <c r="C85" s="4" t="s">
        <v>80</v>
      </c>
      <c r="D85" s="4" t="s">
        <v>1620</v>
      </c>
      <c r="E85" s="4" t="s">
        <v>987</v>
      </c>
      <c r="F85" s="4" t="s">
        <v>880</v>
      </c>
      <c r="G85" s="4" t="s">
        <v>883</v>
      </c>
      <c r="H85" s="4" t="s">
        <v>884</v>
      </c>
      <c r="I85" s="4" t="s">
        <v>885</v>
      </c>
      <c r="J85" s="5"/>
    </row>
    <row r="86" ht="15.75" customHeight="1">
      <c r="A86" s="4" t="s">
        <v>1623</v>
      </c>
      <c r="B86" s="4" t="s">
        <v>1619</v>
      </c>
      <c r="C86" s="4" t="s">
        <v>80</v>
      </c>
      <c r="D86" s="4" t="s">
        <v>1625</v>
      </c>
      <c r="E86" s="4" t="s">
        <v>61</v>
      </c>
      <c r="F86" s="4" t="s">
        <v>880</v>
      </c>
      <c r="G86" s="4" t="s">
        <v>883</v>
      </c>
      <c r="H86" s="4" t="s">
        <v>862</v>
      </c>
      <c r="I86" s="4" t="s">
        <v>1626</v>
      </c>
      <c r="J86" s="5"/>
    </row>
    <row r="87" ht="15.75" customHeight="1">
      <c r="A87" s="4" t="s">
        <v>1628</v>
      </c>
      <c r="B87" s="4" t="s">
        <v>1619</v>
      </c>
      <c r="C87" s="4" t="s">
        <v>80</v>
      </c>
      <c r="D87" s="4" t="s">
        <v>1630</v>
      </c>
      <c r="E87" s="4" t="s">
        <v>61</v>
      </c>
      <c r="F87" s="4" t="s">
        <v>880</v>
      </c>
      <c r="G87" s="4" t="s">
        <v>883</v>
      </c>
      <c r="H87" s="4" t="s">
        <v>862</v>
      </c>
      <c r="I87" s="4" t="s">
        <v>1632</v>
      </c>
      <c r="J87" s="5"/>
    </row>
    <row r="88" ht="15.75" customHeight="1">
      <c r="J88" s="20"/>
    </row>
    <row r="89" ht="15.75" customHeight="1">
      <c r="J89" s="20"/>
    </row>
    <row r="90" ht="15.75" customHeight="1">
      <c r="J90" s="20"/>
    </row>
    <row r="91" ht="15.75" customHeight="1">
      <c r="J91" s="20"/>
    </row>
    <row r="92" ht="15.75" customHeight="1">
      <c r="J92" s="20"/>
    </row>
    <row r="93" ht="15.75" customHeight="1">
      <c r="J93" s="20"/>
    </row>
    <row r="94" ht="15.75" customHeight="1">
      <c r="J94" s="20"/>
    </row>
    <row r="95" ht="15.75" customHeight="1">
      <c r="J95" s="20"/>
    </row>
    <row r="96" ht="15.75" customHeight="1">
      <c r="J96" s="20"/>
    </row>
    <row r="97" ht="15.75" customHeight="1">
      <c r="J97" s="20"/>
    </row>
    <row r="98" ht="15.75" customHeight="1">
      <c r="J98" s="20"/>
    </row>
    <row r="99" ht="15.75" customHeight="1">
      <c r="J99" s="20"/>
    </row>
    <row r="100" ht="15.75" customHeight="1">
      <c r="J100" s="20"/>
    </row>
    <row r="101" ht="15.75" customHeight="1">
      <c r="J101" s="20"/>
    </row>
    <row r="102" ht="15.75" customHeight="1">
      <c r="J102" s="20"/>
    </row>
    <row r="103" ht="15.75" customHeight="1">
      <c r="J103" s="20"/>
    </row>
    <row r="104" ht="15.75" customHeight="1">
      <c r="J104" s="20"/>
    </row>
    <row r="105" ht="15.75" customHeight="1">
      <c r="J105" s="20"/>
    </row>
    <row r="106" ht="15.75" customHeight="1">
      <c r="J106" s="20"/>
    </row>
    <row r="107" ht="15.75" customHeight="1">
      <c r="J107" s="20"/>
    </row>
    <row r="108" ht="15.75" customHeight="1">
      <c r="J108" s="20"/>
    </row>
    <row r="109" ht="15.75" customHeight="1">
      <c r="J109" s="20"/>
    </row>
    <row r="110" ht="15.75" customHeight="1">
      <c r="J110" s="20"/>
    </row>
    <row r="111" ht="15.75" customHeight="1">
      <c r="J111" s="20"/>
    </row>
    <row r="112" ht="15.75" customHeight="1">
      <c r="J112" s="20"/>
    </row>
    <row r="113" ht="15.75" customHeight="1">
      <c r="J113" s="20"/>
    </row>
    <row r="114" ht="15.75" customHeight="1">
      <c r="J114" s="20"/>
    </row>
    <row r="115" ht="15.75" customHeight="1">
      <c r="J115" s="20"/>
    </row>
    <row r="116" ht="15.75" customHeight="1">
      <c r="J116" s="20"/>
    </row>
    <row r="117" ht="15.75" customHeight="1">
      <c r="J117" s="20"/>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87"/>
  <dataValidations>
    <dataValidation type="list" allowBlank="1" sqref="J5:J117">
      <formula1>"Yes,No"</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32.0"/>
    <col customWidth="1" min="3" max="3" width="8.0"/>
    <col customWidth="1" min="4" max="4" width="30.0"/>
    <col customWidth="1" min="5" max="5" width="10.0"/>
    <col customWidth="1" min="6" max="6" width="90.0"/>
    <col customWidth="1" min="7" max="7" width="8.0"/>
    <col customWidth="1" min="8" max="8" width="12.0"/>
    <col customWidth="1" min="9" max="26" width="8.71"/>
  </cols>
  <sheetData>
    <row r="1">
      <c r="A1" s="1" t="s">
        <v>1299</v>
      </c>
    </row>
    <row r="2">
      <c r="A2" s="2" t="s">
        <v>1305</v>
      </c>
    </row>
    <row r="4">
      <c r="A4" s="3" t="s">
        <v>818</v>
      </c>
      <c r="B4" s="3" t="s">
        <v>19</v>
      </c>
      <c r="C4" s="3" t="s">
        <v>7</v>
      </c>
      <c r="D4" s="3" t="s">
        <v>1315</v>
      </c>
      <c r="E4" s="3" t="s">
        <v>1319</v>
      </c>
      <c r="F4" s="3" t="s">
        <v>1320</v>
      </c>
      <c r="G4" s="3" t="s">
        <v>101</v>
      </c>
      <c r="H4" s="3" t="s">
        <v>1322</v>
      </c>
    </row>
    <row r="5">
      <c r="A5" s="4" t="s">
        <v>1326</v>
      </c>
      <c r="B5" s="4" t="s">
        <v>1329</v>
      </c>
      <c r="C5" s="4">
        <v>1.0</v>
      </c>
      <c r="D5" s="4" t="s">
        <v>1332</v>
      </c>
      <c r="E5" s="4" t="s">
        <v>1333</v>
      </c>
      <c r="F5" s="4" t="s">
        <v>1335</v>
      </c>
      <c r="G5" s="4">
        <v>2.0</v>
      </c>
      <c r="H5" s="4" t="s">
        <v>80</v>
      </c>
    </row>
    <row r="6">
      <c r="A6" s="4" t="s">
        <v>1340</v>
      </c>
      <c r="B6" s="4" t="s">
        <v>1342</v>
      </c>
      <c r="C6" s="4">
        <v>2.0</v>
      </c>
      <c r="D6" s="4" t="s">
        <v>1332</v>
      </c>
      <c r="E6" s="4" t="s">
        <v>1333</v>
      </c>
      <c r="F6" s="4" t="s">
        <v>1345</v>
      </c>
      <c r="G6" s="4">
        <v>4.0</v>
      </c>
      <c r="H6" s="4" t="s">
        <v>80</v>
      </c>
    </row>
    <row r="7">
      <c r="A7" s="4" t="s">
        <v>1348</v>
      </c>
      <c r="B7" s="4" t="s">
        <v>1349</v>
      </c>
      <c r="C7" s="4">
        <v>1.0</v>
      </c>
      <c r="D7" s="4" t="s">
        <v>1332</v>
      </c>
      <c r="E7" s="4" t="s">
        <v>1333</v>
      </c>
      <c r="F7" s="4" t="s">
        <v>1353</v>
      </c>
      <c r="G7" s="4">
        <v>7.0</v>
      </c>
      <c r="H7" s="4" t="s">
        <v>80</v>
      </c>
    </row>
    <row r="8">
      <c r="A8" s="4" t="s">
        <v>1355</v>
      </c>
      <c r="B8" s="4" t="s">
        <v>1357</v>
      </c>
      <c r="C8" s="4">
        <v>1.0</v>
      </c>
      <c r="D8" s="4" t="s">
        <v>1332</v>
      </c>
      <c r="E8" s="4" t="s">
        <v>1333</v>
      </c>
      <c r="F8" s="4" t="s">
        <v>1360</v>
      </c>
      <c r="G8" s="4">
        <v>4.0</v>
      </c>
      <c r="H8" s="4" t="s">
        <v>80</v>
      </c>
    </row>
    <row r="9">
      <c r="A9" s="4" t="s">
        <v>1363</v>
      </c>
      <c r="B9" s="4" t="s">
        <v>1364</v>
      </c>
      <c r="C9" s="4">
        <v>1.0</v>
      </c>
      <c r="D9" s="4" t="s">
        <v>1332</v>
      </c>
      <c r="E9" s="4" t="s">
        <v>1333</v>
      </c>
      <c r="F9" s="4" t="s">
        <v>1367</v>
      </c>
      <c r="G9" s="4">
        <v>3.0</v>
      </c>
      <c r="H9" s="4" t="s">
        <v>80</v>
      </c>
    </row>
    <row r="10">
      <c r="A10" s="4" t="s">
        <v>1370</v>
      </c>
      <c r="B10" s="4" t="s">
        <v>1371</v>
      </c>
      <c r="C10" s="4">
        <v>2.0</v>
      </c>
      <c r="D10" s="4" t="s">
        <v>1332</v>
      </c>
      <c r="E10" s="4" t="s">
        <v>1333</v>
      </c>
      <c r="F10" s="4" t="s">
        <v>1375</v>
      </c>
      <c r="G10" s="4">
        <v>2.0</v>
      </c>
      <c r="H10" s="4" t="s">
        <v>80</v>
      </c>
    </row>
    <row r="11">
      <c r="A11" s="4" t="s">
        <v>1377</v>
      </c>
      <c r="B11" s="4" t="s">
        <v>1378</v>
      </c>
      <c r="C11" s="4">
        <v>2.0</v>
      </c>
      <c r="D11" s="4" t="s">
        <v>1332</v>
      </c>
      <c r="E11" s="4" t="s">
        <v>1333</v>
      </c>
      <c r="F11" s="4" t="s">
        <v>1381</v>
      </c>
      <c r="G11" s="4">
        <v>6.0</v>
      </c>
      <c r="H11" s="4" t="s">
        <v>46</v>
      </c>
    </row>
    <row r="12">
      <c r="A12" s="4" t="s">
        <v>45</v>
      </c>
      <c r="B12" s="4" t="s">
        <v>1383</v>
      </c>
      <c r="C12" s="4">
        <v>2.0</v>
      </c>
      <c r="D12" s="4" t="s">
        <v>1332</v>
      </c>
      <c r="E12" s="4" t="s">
        <v>1333</v>
      </c>
      <c r="F12" s="4" t="s">
        <v>1386</v>
      </c>
      <c r="G12" s="4">
        <v>5.0</v>
      </c>
      <c r="H12" s="4" t="s">
        <v>46</v>
      </c>
    </row>
    <row r="13">
      <c r="A13" s="4" t="s">
        <v>1387</v>
      </c>
      <c r="B13" s="4" t="s">
        <v>1390</v>
      </c>
      <c r="C13" s="4">
        <v>2.0</v>
      </c>
      <c r="D13" s="4" t="s">
        <v>1332</v>
      </c>
      <c r="E13" s="4" t="s">
        <v>1333</v>
      </c>
      <c r="F13" s="4" t="s">
        <v>1394</v>
      </c>
      <c r="G13" s="4">
        <v>1.0</v>
      </c>
      <c r="H13" s="4" t="s">
        <v>80</v>
      </c>
    </row>
    <row r="14">
      <c r="A14" s="4" t="s">
        <v>843</v>
      </c>
      <c r="B14" s="4" t="s">
        <v>1396</v>
      </c>
      <c r="C14" s="4">
        <v>3.0</v>
      </c>
      <c r="D14" s="4" t="s">
        <v>1397</v>
      </c>
      <c r="E14" s="4" t="s">
        <v>1333</v>
      </c>
      <c r="F14" s="4" t="s">
        <v>1399</v>
      </c>
      <c r="G14" s="4">
        <v>5.0</v>
      </c>
      <c r="H14" s="4" t="s">
        <v>46</v>
      </c>
    </row>
    <row r="15">
      <c r="A15" s="4" t="s">
        <v>1005</v>
      </c>
      <c r="B15" s="4" t="s">
        <v>1402</v>
      </c>
      <c r="C15" s="4">
        <v>2.0</v>
      </c>
      <c r="D15" s="4" t="s">
        <v>1332</v>
      </c>
      <c r="E15" s="4" t="s">
        <v>1333</v>
      </c>
      <c r="F15" s="4" t="s">
        <v>1403</v>
      </c>
      <c r="G15" s="4">
        <v>4.0</v>
      </c>
      <c r="H15" s="4" t="s">
        <v>46</v>
      </c>
    </row>
    <row r="16">
      <c r="A16" s="4" t="s">
        <v>1405</v>
      </c>
      <c r="B16" s="4" t="s">
        <v>1407</v>
      </c>
      <c r="C16" s="4">
        <v>1.0</v>
      </c>
      <c r="D16" s="4" t="s">
        <v>1332</v>
      </c>
      <c r="E16" s="4" t="s">
        <v>1333</v>
      </c>
      <c r="F16" s="4" t="s">
        <v>1410</v>
      </c>
      <c r="G16" s="4">
        <v>7.0</v>
      </c>
      <c r="H16" s="4" t="s">
        <v>185</v>
      </c>
    </row>
    <row r="17">
      <c r="A17" s="4" t="s">
        <v>1077</v>
      </c>
      <c r="B17" s="4" t="s">
        <v>1416</v>
      </c>
      <c r="C17" s="4">
        <v>2.0</v>
      </c>
      <c r="D17" s="4" t="s">
        <v>1332</v>
      </c>
      <c r="E17" s="4" t="s">
        <v>1333</v>
      </c>
      <c r="F17" s="4" t="s">
        <v>1418</v>
      </c>
      <c r="G17" s="4">
        <v>1.0</v>
      </c>
      <c r="H17" s="4" t="s">
        <v>185</v>
      </c>
    </row>
    <row r="18">
      <c r="A18" s="4" t="s">
        <v>1419</v>
      </c>
      <c r="B18" s="4" t="s">
        <v>1421</v>
      </c>
      <c r="C18" s="4">
        <v>2.0</v>
      </c>
      <c r="D18" s="4" t="s">
        <v>1332</v>
      </c>
      <c r="E18" s="4" t="s">
        <v>1333</v>
      </c>
      <c r="F18" s="4" t="s">
        <v>1424</v>
      </c>
      <c r="G18" s="4">
        <v>3.0</v>
      </c>
      <c r="H18" s="4" t="s">
        <v>185</v>
      </c>
    </row>
    <row r="19">
      <c r="A19" s="4" t="s">
        <v>1092</v>
      </c>
      <c r="B19" s="4" t="s">
        <v>1429</v>
      </c>
      <c r="C19" s="4">
        <v>2.0</v>
      </c>
      <c r="D19" s="4" t="s">
        <v>1332</v>
      </c>
      <c r="E19" s="4" t="s">
        <v>1333</v>
      </c>
      <c r="F19" s="4" t="s">
        <v>1432</v>
      </c>
      <c r="G19" s="4">
        <v>4.0</v>
      </c>
      <c r="H19" s="4" t="s">
        <v>76</v>
      </c>
    </row>
    <row r="20">
      <c r="A20" s="4" t="s">
        <v>1243</v>
      </c>
      <c r="B20" s="4" t="s">
        <v>1437</v>
      </c>
      <c r="C20" s="4">
        <v>2.0</v>
      </c>
      <c r="D20" s="4" t="s">
        <v>1332</v>
      </c>
      <c r="E20" s="4" t="s">
        <v>1333</v>
      </c>
      <c r="F20" s="4" t="s">
        <v>1442</v>
      </c>
      <c r="G20" s="4">
        <v>4.0</v>
      </c>
      <c r="H20" s="4" t="s">
        <v>76</v>
      </c>
    </row>
    <row r="21" ht="15.75" customHeight="1">
      <c r="A21" s="4" t="s">
        <v>1433</v>
      </c>
      <c r="B21" s="4" t="s">
        <v>1447</v>
      </c>
      <c r="C21" s="4" t="s">
        <v>1448</v>
      </c>
      <c r="D21" s="4" t="s">
        <v>1450</v>
      </c>
      <c r="E21" s="4" t="s">
        <v>1333</v>
      </c>
      <c r="F21" s="4" t="s">
        <v>1451</v>
      </c>
      <c r="G21" s="4">
        <v>2.0</v>
      </c>
      <c r="H21" s="4" t="s">
        <v>76</v>
      </c>
    </row>
    <row r="22" ht="15.75" customHeight="1">
      <c r="A22" s="4" t="s">
        <v>1455</v>
      </c>
      <c r="B22" s="4" t="s">
        <v>1457</v>
      </c>
      <c r="C22" s="4">
        <v>3.0</v>
      </c>
      <c r="D22" s="4" t="s">
        <v>1458</v>
      </c>
      <c r="E22" s="4" t="s">
        <v>1333</v>
      </c>
      <c r="F22" s="4" t="s">
        <v>1461</v>
      </c>
      <c r="G22" s="4">
        <v>4.0</v>
      </c>
      <c r="H22" s="4" t="s">
        <v>185</v>
      </c>
    </row>
    <row r="23" ht="15.75" customHeight="1">
      <c r="A23" s="4" t="s">
        <v>1466</v>
      </c>
      <c r="B23" s="4" t="s">
        <v>1468</v>
      </c>
      <c r="C23" s="4">
        <v>2.0</v>
      </c>
      <c r="D23" s="4" t="s">
        <v>1332</v>
      </c>
      <c r="E23" s="4" t="s">
        <v>1333</v>
      </c>
      <c r="F23" s="4" t="s">
        <v>1473</v>
      </c>
      <c r="G23" s="4">
        <v>4.0</v>
      </c>
      <c r="H23" s="4" t="s">
        <v>185</v>
      </c>
    </row>
    <row r="24" ht="15.75" customHeight="1">
      <c r="A24" s="4" t="s">
        <v>79</v>
      </c>
      <c r="B24" s="4" t="s">
        <v>1476</v>
      </c>
      <c r="C24" s="4">
        <v>1.0</v>
      </c>
      <c r="D24" s="4" t="s">
        <v>1332</v>
      </c>
      <c r="E24" s="4" t="s">
        <v>1333</v>
      </c>
      <c r="F24" s="4" t="s">
        <v>1481</v>
      </c>
      <c r="G24" s="4">
        <v>3.0</v>
      </c>
      <c r="H24" s="4" t="s">
        <v>31</v>
      </c>
    </row>
    <row r="25" ht="15.75" customHeight="1">
      <c r="A25" s="4" t="s">
        <v>1482</v>
      </c>
      <c r="B25" s="4" t="s">
        <v>1484</v>
      </c>
      <c r="C25" s="4">
        <v>2.0</v>
      </c>
      <c r="D25" s="4" t="s">
        <v>1332</v>
      </c>
      <c r="E25" s="4" t="s">
        <v>1333</v>
      </c>
      <c r="F25" s="4" t="s">
        <v>1489</v>
      </c>
      <c r="G25" s="4">
        <v>5.0</v>
      </c>
      <c r="H25" s="4" t="s">
        <v>31</v>
      </c>
    </row>
    <row r="26" ht="15.75" customHeight="1">
      <c r="A26" s="4" t="s">
        <v>1493</v>
      </c>
      <c r="B26" s="4" t="s">
        <v>1496</v>
      </c>
      <c r="C26" s="4">
        <v>2.0</v>
      </c>
      <c r="D26" s="4" t="s">
        <v>1332</v>
      </c>
      <c r="E26" s="4" t="s">
        <v>1333</v>
      </c>
      <c r="F26" s="4" t="s">
        <v>1498</v>
      </c>
      <c r="G26" s="4">
        <v>4.0</v>
      </c>
      <c r="H26" s="4" t="s">
        <v>31</v>
      </c>
    </row>
    <row r="27" ht="15.75" customHeight="1">
      <c r="A27" s="4" t="s">
        <v>1501</v>
      </c>
      <c r="B27" s="4" t="s">
        <v>1503</v>
      </c>
      <c r="C27" s="4">
        <v>2.0</v>
      </c>
      <c r="D27" s="4" t="s">
        <v>1332</v>
      </c>
      <c r="E27" s="4" t="s">
        <v>1333</v>
      </c>
      <c r="F27" s="4" t="s">
        <v>1506</v>
      </c>
      <c r="G27" s="4">
        <v>3.0</v>
      </c>
      <c r="H27" s="4" t="s">
        <v>31</v>
      </c>
    </row>
    <row r="28" ht="15.75" customHeight="1">
      <c r="A28" s="4" t="s">
        <v>1511</v>
      </c>
      <c r="B28" s="4" t="s">
        <v>1513</v>
      </c>
      <c r="C28" s="4">
        <v>3.0</v>
      </c>
      <c r="D28" s="4" t="s">
        <v>1514</v>
      </c>
      <c r="E28" s="4" t="s">
        <v>1333</v>
      </c>
      <c r="F28" s="4" t="s">
        <v>1516</v>
      </c>
      <c r="G28" s="4">
        <v>3.0</v>
      </c>
      <c r="H28" s="4" t="s">
        <v>46</v>
      </c>
    </row>
    <row r="29" ht="15.75" customHeight="1">
      <c r="A29" s="4" t="s">
        <v>1518</v>
      </c>
      <c r="B29" s="4" t="s">
        <v>1519</v>
      </c>
      <c r="C29" s="4">
        <v>3.0</v>
      </c>
      <c r="D29" s="4" t="s">
        <v>1521</v>
      </c>
      <c r="E29" s="4" t="s">
        <v>1333</v>
      </c>
      <c r="F29" s="4" t="s">
        <v>1523</v>
      </c>
      <c r="G29" s="4">
        <v>5.0</v>
      </c>
      <c r="H29" s="4" t="s">
        <v>46</v>
      </c>
    </row>
    <row r="30" ht="15.75" customHeight="1">
      <c r="A30" s="4" t="s">
        <v>1525</v>
      </c>
      <c r="B30" s="4" t="s">
        <v>1526</v>
      </c>
      <c r="C30" s="4">
        <v>2.0</v>
      </c>
      <c r="D30" s="4" t="s">
        <v>1332</v>
      </c>
      <c r="E30" s="4" t="s">
        <v>1333</v>
      </c>
      <c r="F30" s="4" t="s">
        <v>1529</v>
      </c>
      <c r="G30" s="4">
        <v>3.0</v>
      </c>
      <c r="H30" s="4" t="s">
        <v>46</v>
      </c>
    </row>
    <row r="31" ht="15.75" customHeight="1">
      <c r="A31" s="4" t="s">
        <v>1530</v>
      </c>
      <c r="B31" s="4" t="s">
        <v>1532</v>
      </c>
      <c r="C31" s="4">
        <v>3.0</v>
      </c>
      <c r="D31" s="4" t="s">
        <v>1534</v>
      </c>
      <c r="E31" s="4" t="s">
        <v>1333</v>
      </c>
      <c r="F31" s="4" t="s">
        <v>1535</v>
      </c>
      <c r="G31" s="4">
        <v>4.0</v>
      </c>
      <c r="H31" s="4" t="s">
        <v>31</v>
      </c>
    </row>
    <row r="32" ht="15.75" customHeight="1">
      <c r="A32" s="4" t="s">
        <v>59</v>
      </c>
      <c r="B32" s="4" t="s">
        <v>1539</v>
      </c>
      <c r="C32" s="4">
        <v>3.0</v>
      </c>
      <c r="D32" s="4" t="s">
        <v>1541</v>
      </c>
      <c r="E32" s="4" t="s">
        <v>1333</v>
      </c>
      <c r="F32" s="4" t="s">
        <v>1544</v>
      </c>
      <c r="G32" s="4">
        <v>5.0</v>
      </c>
      <c r="H32" s="4" t="s">
        <v>80</v>
      </c>
    </row>
    <row r="33" ht="15.75" customHeight="1">
      <c r="A33" s="4" t="s">
        <v>1547</v>
      </c>
      <c r="B33" s="4" t="s">
        <v>1548</v>
      </c>
      <c r="C33" s="4">
        <v>3.0</v>
      </c>
      <c r="D33" s="4" t="s">
        <v>1550</v>
      </c>
      <c r="E33" s="4" t="s">
        <v>1333</v>
      </c>
      <c r="F33" s="4" t="s">
        <v>1551</v>
      </c>
      <c r="G33" s="4">
        <v>7.0</v>
      </c>
      <c r="H33" s="4" t="s">
        <v>46</v>
      </c>
    </row>
    <row r="34" ht="15.75" customHeight="1">
      <c r="A34" s="4" t="s">
        <v>244</v>
      </c>
      <c r="B34" s="4" t="s">
        <v>1554</v>
      </c>
      <c r="C34" s="4">
        <v>3.0</v>
      </c>
      <c r="D34" s="4" t="s">
        <v>1555</v>
      </c>
      <c r="E34" s="4" t="s">
        <v>885</v>
      </c>
      <c r="F34" s="4" t="s">
        <v>1556</v>
      </c>
      <c r="G34" s="4">
        <v>0.0</v>
      </c>
      <c r="H34" s="4"/>
    </row>
    <row r="35" ht="15.75" customHeight="1">
      <c r="A35" s="4" t="s">
        <v>1558</v>
      </c>
      <c r="B35" s="4" t="s">
        <v>1560</v>
      </c>
      <c r="C35" s="4">
        <v>3.0</v>
      </c>
      <c r="D35" s="4" t="s">
        <v>1561</v>
      </c>
      <c r="E35" s="4" t="s">
        <v>1333</v>
      </c>
      <c r="F35" s="4" t="s">
        <v>1564</v>
      </c>
      <c r="G35" s="4">
        <v>4.0</v>
      </c>
      <c r="H35" s="4" t="s">
        <v>76</v>
      </c>
    </row>
    <row r="36" ht="15.75" customHeight="1">
      <c r="A36" s="4" t="s">
        <v>1566</v>
      </c>
      <c r="B36" s="4" t="s">
        <v>1567</v>
      </c>
      <c r="C36" s="4">
        <v>3.0</v>
      </c>
      <c r="D36" s="4" t="s">
        <v>1568</v>
      </c>
      <c r="E36" s="4" t="s">
        <v>1333</v>
      </c>
      <c r="F36" s="4" t="s">
        <v>1570</v>
      </c>
      <c r="G36" s="4">
        <v>6.0</v>
      </c>
      <c r="H36" s="4" t="s">
        <v>76</v>
      </c>
    </row>
    <row r="37" ht="15.75" customHeight="1">
      <c r="A37" s="4" t="s">
        <v>1572</v>
      </c>
      <c r="B37" s="4" t="s">
        <v>1573</v>
      </c>
      <c r="C37" s="4">
        <v>3.0</v>
      </c>
      <c r="D37" s="4" t="s">
        <v>1575</v>
      </c>
      <c r="E37" s="4" t="s">
        <v>1333</v>
      </c>
      <c r="F37" s="4" t="s">
        <v>1577</v>
      </c>
      <c r="G37" s="4">
        <v>4.0</v>
      </c>
      <c r="H37" s="4" t="s">
        <v>185</v>
      </c>
    </row>
    <row r="38" ht="15.75" customHeight="1">
      <c r="A38" s="4" t="s">
        <v>1579</v>
      </c>
      <c r="B38" s="4" t="s">
        <v>1581</v>
      </c>
      <c r="C38" s="4">
        <v>3.0</v>
      </c>
      <c r="D38" s="4" t="s">
        <v>1583</v>
      </c>
      <c r="E38" s="4" t="s">
        <v>1333</v>
      </c>
      <c r="F38" s="4" t="s">
        <v>1584</v>
      </c>
      <c r="G38" s="4">
        <v>4.0</v>
      </c>
      <c r="H38" s="4" t="s">
        <v>76</v>
      </c>
    </row>
    <row r="39" ht="15.75" customHeight="1">
      <c r="A39" s="4" t="s">
        <v>1586</v>
      </c>
      <c r="B39" s="4" t="s">
        <v>1587</v>
      </c>
      <c r="C39" s="4">
        <v>3.0</v>
      </c>
      <c r="D39" s="4" t="s">
        <v>1588</v>
      </c>
      <c r="E39" s="4" t="s">
        <v>1333</v>
      </c>
      <c r="F39" s="4" t="s">
        <v>1590</v>
      </c>
      <c r="G39" s="4">
        <v>7.0</v>
      </c>
      <c r="H39" s="4" t="s">
        <v>76</v>
      </c>
    </row>
    <row r="40" ht="15.75" customHeight="1">
      <c r="A40" s="4" t="s">
        <v>1593</v>
      </c>
      <c r="B40" s="4" t="s">
        <v>1594</v>
      </c>
      <c r="C40" s="4">
        <v>3.0</v>
      </c>
      <c r="D40" s="4" t="s">
        <v>1595</v>
      </c>
      <c r="E40" s="4" t="s">
        <v>1333</v>
      </c>
      <c r="F40" s="4" t="s">
        <v>1597</v>
      </c>
      <c r="G40" s="4">
        <v>3.0</v>
      </c>
      <c r="H40" s="4" t="s">
        <v>80</v>
      </c>
    </row>
    <row r="41" ht="15.75" customHeight="1">
      <c r="A41" s="4" t="s">
        <v>181</v>
      </c>
      <c r="B41" s="4" t="s">
        <v>1599</v>
      </c>
      <c r="C41" s="4">
        <v>3.0</v>
      </c>
      <c r="D41" s="4" t="s">
        <v>1600</v>
      </c>
      <c r="E41" s="4" t="s">
        <v>1333</v>
      </c>
      <c r="F41" s="4" t="s">
        <v>1602</v>
      </c>
      <c r="G41" s="4">
        <v>4.0</v>
      </c>
      <c r="H41" s="4" t="s">
        <v>31</v>
      </c>
    </row>
    <row r="42" ht="15.75" customHeight="1">
      <c r="A42" s="4" t="s">
        <v>1605</v>
      </c>
      <c r="B42" s="4" t="s">
        <v>1606</v>
      </c>
      <c r="C42" s="4">
        <v>3.0</v>
      </c>
      <c r="D42" s="4" t="s">
        <v>1608</v>
      </c>
      <c r="E42" s="4" t="s">
        <v>1333</v>
      </c>
      <c r="F42" s="4" t="s">
        <v>1610</v>
      </c>
      <c r="G42" s="4">
        <v>8.0</v>
      </c>
      <c r="H42" s="4" t="s">
        <v>31</v>
      </c>
    </row>
    <row r="43" ht="15.75" customHeight="1">
      <c r="A43" s="4" t="s">
        <v>913</v>
      </c>
      <c r="B43" s="4" t="s">
        <v>1614</v>
      </c>
      <c r="C43" s="4">
        <v>3.0</v>
      </c>
      <c r="D43" s="4" t="s">
        <v>1616</v>
      </c>
      <c r="E43" s="4" t="s">
        <v>1333</v>
      </c>
      <c r="F43" s="4" t="s">
        <v>1617</v>
      </c>
      <c r="G43" s="4">
        <v>7.0</v>
      </c>
      <c r="H43" s="4" t="s">
        <v>31</v>
      </c>
    </row>
    <row r="44" ht="15.75" customHeight="1">
      <c r="A44" s="4" t="s">
        <v>1619</v>
      </c>
      <c r="B44" s="4" t="s">
        <v>1621</v>
      </c>
      <c r="C44" s="4">
        <v>3.0</v>
      </c>
      <c r="D44" s="4" t="s">
        <v>1622</v>
      </c>
      <c r="E44" s="4" t="s">
        <v>1333</v>
      </c>
      <c r="F44" s="4" t="s">
        <v>1624</v>
      </c>
      <c r="G44" s="4">
        <v>4.0</v>
      </c>
      <c r="H44" s="4" t="s">
        <v>185</v>
      </c>
    </row>
    <row r="45" ht="15.75" customHeight="1">
      <c r="A45" s="4" t="s">
        <v>1084</v>
      </c>
      <c r="B45" s="4" t="s">
        <v>1627</v>
      </c>
      <c r="C45" s="4">
        <v>3.0</v>
      </c>
      <c r="D45" s="4" t="s">
        <v>1629</v>
      </c>
      <c r="E45" s="4" t="s">
        <v>1333</v>
      </c>
      <c r="F45" s="4" t="s">
        <v>1631</v>
      </c>
      <c r="G45" s="4">
        <v>4.0</v>
      </c>
      <c r="H45" s="4" t="s">
        <v>185</v>
      </c>
    </row>
    <row r="46" ht="15.75" customHeight="1"/>
    <row r="47" ht="15.75" customHeight="1">
      <c r="A47" s="4" t="s">
        <v>1633</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2026-10-17T09:10:34Z</dcterms:created>
  <dc:creator>openpyxl</dc:creator>
</cp:coreProperties>
</file>