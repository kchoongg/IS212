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krist\Documents\GitHub\IS212\docs\regression\"/>
    </mc:Choice>
  </mc:AlternateContent>
  <xr:revisionPtr revIDLastSave="0" documentId="13_ncr:1_{18610531-3FD0-459D-A643-C7D557995F87}" xr6:coauthVersionLast="47" xr6:coauthVersionMax="47" xr10:uidLastSave="{00000000-0000-0000-0000-000000000000}"/>
  <bookViews>
    <workbookView xWindow="-14085" yWindow="-16320" windowWidth="29040" windowHeight="15720" xr2:uid="{00000000-000D-0000-FFFF-FFFF00000000}"/>
  </bookViews>
  <sheets>
    <sheet name="Summary" sheetId="1" r:id="rId1"/>
    <sheet name="Retested cases" sheetId="2" r:id="rId2"/>
    <sheet name="Automated checks" sheetId="3" r:id="rId3"/>
    <sheet name="Scope" sheetId="4" r:id="rId4"/>
    <sheet name="Smoke run" sheetId="5" r:id="rId5"/>
    <sheet name="Follow-ups" sheetId="6" r:id="rId6"/>
  </sheets>
  <definedNames>
    <definedName name="_xlnm._FilterDatabase" localSheetId="1" hidden="1">'Retested cases'!$A$4:$L$65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4" l="1"/>
  <c r="G20" i="4"/>
  <c r="G19" i="4"/>
  <c r="G18" i="4"/>
  <c r="G17" i="4"/>
  <c r="G16" i="4"/>
  <c r="G15" i="4"/>
  <c r="G14" i="4"/>
  <c r="G13" i="4"/>
  <c r="G12" i="4"/>
  <c r="G11" i="4"/>
  <c r="G10" i="4"/>
  <c r="G9" i="4"/>
  <c r="G8" i="4"/>
  <c r="G7" i="4"/>
  <c r="G6" i="4"/>
  <c r="G5" i="4"/>
  <c r="B15" i="1"/>
  <c r="B14" i="1"/>
  <c r="D13" i="1"/>
  <c r="C13" i="1"/>
  <c r="B13" i="1"/>
  <c r="D12" i="1"/>
  <c r="C12" i="1"/>
  <c r="B12" i="1"/>
  <c r="D11" i="1"/>
  <c r="C11" i="1"/>
  <c r="B11" i="1"/>
  <c r="D16" i="1" l="1"/>
  <c r="B16" i="1"/>
  <c r="C16" i="1"/>
</calcChain>
</file>

<file path=xl/sharedStrings.xml><?xml version="1.0" encoding="utf-8"?>
<sst xmlns="http://schemas.openxmlformats.org/spreadsheetml/2006/main" count="704" uniqueCount="357">
  <si>
    <t>Sprint 2 regression test</t>
  </si>
  <si>
    <t>Process: docs/REGRESSION_TESTING.md. Yellow cells are for you to fill in; everything else is pre-filled or calculated.</t>
  </si>
  <si>
    <t>Sprint</t>
  </si>
  <si>
    <t>Date tested</t>
  </si>
  <si>
    <t>Tested by</t>
  </si>
  <si>
    <t>Commit tested (main)</t>
  </si>
  <si>
    <t>git rev-parse --short HEAD</t>
  </si>
  <si>
    <t>Baseline</t>
  </si>
  <si>
    <t>586bd68 (last commit on main before Sprint 2 started, 21 Sep 2026)</t>
  </si>
  <si>
    <t>Results</t>
  </si>
  <si>
    <t>Retested cases</t>
  </si>
  <si>
    <t>Smoke run</t>
  </si>
  <si>
    <t>Automated checks</t>
  </si>
  <si>
    <t>Total</t>
  </si>
  <si>
    <t>Pass</t>
  </si>
  <si>
    <t>Fail</t>
  </si>
  <si>
    <t>Changed by design</t>
  </si>
  <si>
    <t>Blocked</t>
  </si>
  <si>
    <t>Not run yet</t>
  </si>
  <si>
    <t>Result</t>
  </si>
  <si>
    <t>Meaning</t>
  </si>
  <si>
    <t>What to do</t>
  </si>
  <si>
    <t>The app matches the expected result.</t>
  </si>
  <si>
    <t>Nothing.</t>
  </si>
  <si>
    <t>The app is wrong.</t>
  </si>
  <si>
    <t>Raise a Jira bug linked to the story. Add a row to Follow-ups.</t>
  </si>
  <si>
    <t>The app differs because a later story changed the behaviour on purpose.</t>
  </si>
  <si>
    <t>Name that story in the notes. Add a row to Follow-ups so the test case gets updated.</t>
  </si>
  <si>
    <t>The case could not be run, for example because its test data no longer exists.</t>
  </si>
  <si>
    <t>Say why in the notes. Add a row to Follow-ups.</t>
  </si>
  <si>
    <t>Example of filled-in rows on 'Retested cases' (columns Result, Tested by, Date tested, Notes)</t>
  </si>
  <si>
    <t>SPM-47-TC01</t>
  </si>
  <si>
    <t>Janelle</t>
  </si>
  <si>
    <t>2026-10-04</t>
  </si>
  <si>
    <t>SPM-40-TC15</t>
  </si>
  <si>
    <t>Kristen</t>
  </si>
  <si>
    <t>SPM-54 added the 'Begin planning?' step. Case needs updating.</t>
  </si>
  <si>
    <t>SPM-23-TC04</t>
  </si>
  <si>
    <t>Step 6: no confirmation message shown. Bug SPM-80.</t>
  </si>
  <si>
    <t>Rules</t>
  </si>
  <si>
    <t>Do not type results into the story workbooks in docs/test-cases/. They hold each story's original test run.</t>
  </si>
  <si>
    <t>Never run npx prisma db seed. Use the script in the Test data column, before the story and after any case that changes data.</t>
  </si>
  <si>
    <t>If a fix merges after a Fail, rerun the case and add a new row for it. Keep the Fail row.</t>
  </si>
  <si>
    <t>Sprint 2 regression: retested cases</t>
  </si>
  <si>
    <t>Read the steps in the story workbook (docs/test-cases/). Record the result here, not in the workbook. Fill in the yellow cells.</t>
  </si>
  <si>
    <t>Test case ID</t>
  </si>
  <si>
    <t>Story</t>
  </si>
  <si>
    <t>Title</t>
  </si>
  <si>
    <t>Linked AC</t>
  </si>
  <si>
    <t>Type</t>
  </si>
  <si>
    <t>Workbook</t>
  </si>
  <si>
    <t>Sheet</t>
  </si>
  <si>
    <t>Test data</t>
  </si>
  <si>
    <t>Notes / bug key</t>
  </si>
  <si>
    <t>SPM-21-TC01</t>
  </si>
  <si>
    <t>SPM-21</t>
  </si>
  <si>
    <t>Valid credentials sign the user in and open the dashboard</t>
  </si>
  <si>
    <t>AC1</t>
  </si>
  <si>
    <t>Positive</t>
  </si>
  <si>
    <t>SPM-21_Test_Cases.xlsx</t>
  </si>
  <si>
    <t>TC01</t>
  </si>
  <si>
    <t>Base seed data</t>
  </si>
  <si>
    <t>SPM-21-TC12</t>
  </si>
  <si>
    <t>The signed-in user's role is named on the dashboard</t>
  </si>
  <si>
    <t>AC3</t>
  </si>
  <si>
    <t>TC12</t>
  </si>
  <si>
    <t>SPM-22-TC01</t>
  </si>
  <si>
    <t>SPM-22</t>
  </si>
  <si>
    <t>An Attendee's sidebar offers only the Attendee screens</t>
  </si>
  <si>
    <t>SPM-22_Test_Cases.xlsx</t>
  </si>
  <si>
    <t>SPM-22-TC04</t>
  </si>
  <si>
    <t>An Attendee opening an event sees only the Overview tab</t>
  </si>
  <si>
    <t>AC2</t>
  </si>
  <si>
    <t>TC04</t>
  </si>
  <si>
    <t>SPM-22-TC17</t>
  </si>
  <si>
    <t>Internal planning fields are absent from an Attendee's view of an event</t>
  </si>
  <si>
    <t>AC5</t>
  </si>
  <si>
    <t>TC17</t>
  </si>
  <si>
    <t>SPM-22-TC19</t>
  </si>
  <si>
    <t>The Operations Manager's navigation matches their permissions</t>
  </si>
  <si>
    <t>AC6</t>
  </si>
  <si>
    <t>TC19</t>
  </si>
  <si>
    <t>SPM-23-TC01</t>
  </si>
  <si>
    <t>SPM-23</t>
  </si>
  <si>
    <t>Organiser can enter an event name and purpose</t>
  </si>
  <si>
    <t>SPM-23_Test_Cases.xlsx</t>
  </si>
  <si>
    <t>SPM-23-TC03</t>
  </si>
  <si>
    <t>Organiser can enter and save an event description</t>
  </si>
  <si>
    <t>TC03</t>
  </si>
  <si>
    <t>Organiser can specify the proposed date and time</t>
  </si>
  <si>
    <t>SPM-23-TC07</t>
  </si>
  <si>
    <t>Organiser can specify expected attendance</t>
  </si>
  <si>
    <t>AC4</t>
  </si>
  <si>
    <t>TC07</t>
  </si>
  <si>
    <t>SPM-23-TC10</t>
  </si>
  <si>
    <t>Organiser can specify venue and accessibility requirements</t>
  </si>
  <si>
    <t>TC10</t>
  </si>
  <si>
    <t>SPM-23-TC18</t>
  </si>
  <si>
    <t>A fully completed request can be submitted</t>
  </si>
  <si>
    <t>AC7</t>
  </si>
  <si>
    <t>TC18</t>
  </si>
  <si>
    <t>SPM-23-TC27</t>
  </si>
  <si>
    <t>A multi-session draft is identifiable as a draft and shows the span and largest attendance</t>
  </si>
  <si>
    <t>AC6, AC8</t>
  </si>
  <si>
    <t>TC27</t>
  </si>
  <si>
    <t>SPM-24-TC01</t>
  </si>
  <si>
    <t>SPM-24</t>
  </si>
  <si>
    <t>Save Draft creates a saved draft with only a title</t>
  </si>
  <si>
    <t>SPM-24_Test_Cases.xlsx</t>
  </si>
  <si>
    <t>Run first: SPM-24-TC09 depends on it.</t>
  </si>
  <si>
    <t>SPM-24-TC06</t>
  </si>
  <si>
    <t>Organiser can leave and return to a saved draft</t>
  </si>
  <si>
    <t>TC06</t>
  </si>
  <si>
    <t>SPM-24-TC09</t>
  </si>
  <si>
    <t>Editing a draft's fields saves the changes</t>
  </si>
  <si>
    <t>TC09</t>
  </si>
  <si>
    <t>SPM-24-TC14</t>
  </si>
  <si>
    <t>A complete draft can be submitted and leaves draft status</t>
  </si>
  <si>
    <t>AC1, AC5</t>
  </si>
  <si>
    <t>TC14</t>
  </si>
  <si>
    <t>SPM-25-TC01</t>
  </si>
  <si>
    <t>SPM-25</t>
  </si>
  <si>
    <t>Submitting a complete event request succeeds and moves it to Submitted</t>
  </si>
  <si>
    <t>AC1, AC2</t>
  </si>
  <si>
    <t>SPM-25_Test_Cases.xlsx</t>
  </si>
  <si>
    <t>SPM-25-TC05</t>
  </si>
  <si>
    <t>A submitted request no longer opens as an editable draft</t>
  </si>
  <si>
    <t>TC05</t>
  </si>
  <si>
    <t>SPM-25-TC06</t>
  </si>
  <si>
    <t>Event Coordinator can see a submitted request in All Events</t>
  </si>
  <si>
    <t>SPM-28-TC01</t>
  </si>
  <si>
    <t>SPM-28</t>
  </si>
  <si>
    <t>Review Queue lists only the Under review events assigned to the logged-in coordinator</t>
  </si>
  <si>
    <t>SPM-28_Test_Cases.xlsx</t>
  </si>
  <si>
    <t>npm run fixtures:spm28</t>
  </si>
  <si>
    <t>SPM-28-TC05</t>
  </si>
  <si>
    <t>Review page displays all requirements of the request</t>
  </si>
  <si>
    <t>SPM-28-TC06</t>
  </si>
  <si>
    <t>Missing information is clearly flagged on the review page</t>
  </si>
  <si>
    <t>SPM-28-TC08</t>
  </si>
  <si>
    <t>Coordinator approves a request for planning</t>
  </si>
  <si>
    <t>AC4, AC6</t>
  </si>
  <si>
    <t>TC08</t>
  </si>
  <si>
    <t>SPM-28-TC10</t>
  </si>
  <si>
    <t>Coordinator rejects a request with a reason</t>
  </si>
  <si>
    <t>AC5, AC6</t>
  </si>
  <si>
    <t>SPM-30-TC08</t>
  </si>
  <si>
    <t>SPM-30</t>
  </si>
  <si>
    <t>Ops Manager assigns a coordinator; it is recorded and the event moves to Under review</t>
  </si>
  <si>
    <t>AC1, AC2, AC3</t>
  </si>
  <si>
    <t>SPM-30_Test_Cases.xlsx</t>
  </si>
  <si>
    <t>npm run fixtures:spm30</t>
  </si>
  <si>
    <t>SPM-30-TC10</t>
  </si>
  <si>
    <t>Owning organiser sees the assigned coordinator</t>
  </si>
  <si>
    <t>SPM-30-TC13</t>
  </si>
  <si>
    <t>Ops Manager reassigns an event from the event page</t>
  </si>
  <si>
    <t>AC6, AC3</t>
  </si>
  <si>
    <t>TC13</t>
  </si>
  <si>
    <t>Run first: SPM-30-TC14 depends on it.</t>
  </si>
  <si>
    <t>SPM-30-TC14</t>
  </si>
  <si>
    <t>After reassignment the previous coordinator loses access and the new one gains it</t>
  </si>
  <si>
    <t>AC6, AC4</t>
  </si>
  <si>
    <t>SPM-31-TC03</t>
  </si>
  <si>
    <t>SPM-31</t>
  </si>
  <si>
    <t>Opening a draft from 'My Events' goes straight to the draft editor, never the Overview tab</t>
  </si>
  <si>
    <t>SPM-31_Test_Cases.xlsx</t>
  </si>
  <si>
    <t>SPM-39-TC01</t>
  </si>
  <si>
    <t>SPM-39</t>
  </si>
  <si>
    <t>Venue Staff can create a venue record</t>
  </si>
  <si>
    <t>SPM-39_Test_Cases.xlsx</t>
  </si>
  <si>
    <t>SPM-39-TC05</t>
  </si>
  <si>
    <t>Location, capacity, facilities and accessibility are all recorded and persist</t>
  </si>
  <si>
    <t>SPM-39-TC07</t>
  </si>
  <si>
    <t>Several layouts are recorded, each with its own capacity</t>
  </si>
  <si>
    <t>SPM-39-TC10</t>
  </si>
  <si>
    <t>Opening hours and turnaround times are recorded</t>
  </si>
  <si>
    <t>SPM-39-TC13</t>
  </si>
  <si>
    <t>Venue Staff can update an existing venue</t>
  </si>
  <si>
    <t>SPM-39-TC15</t>
  </si>
  <si>
    <t>A retired venue is no longer offered to a Coordinator</t>
  </si>
  <si>
    <t>TC15</t>
  </si>
  <si>
    <t>SPM-39-TC17</t>
  </si>
  <si>
    <t>Reducing a layout below an approved booking's attendance flags that booking</t>
  </si>
  <si>
    <t>SPM-40-TC13</t>
  </si>
  <si>
    <t>SPM-40</t>
  </si>
  <si>
    <t>All six filters combined, then Clear filters</t>
  </si>
  <si>
    <t>AC1, AC2, AC3, AC4, AC5, AC6, AC7</t>
  </si>
  <si>
    <t>SPM-40_Test_Cases.xlsx</t>
  </si>
  <si>
    <t>SPM-41-TC05</t>
  </si>
  <si>
    <t>SPM-41</t>
  </si>
  <si>
    <t>The same attendance gets a different result under a different layout</t>
  </si>
  <si>
    <t>AC1, AC4</t>
  </si>
  <si>
    <t>SPM-41_Test_Cases.xlsx</t>
  </si>
  <si>
    <t>SPM-41-TC06</t>
  </si>
  <si>
    <t>Venue with all required facilities is suitable</t>
  </si>
  <si>
    <t>SPM-41-TC09</t>
  </si>
  <si>
    <t>Venue with all required accessibility features is suitable</t>
  </si>
  <si>
    <t>SPM-42-TC01</t>
  </si>
  <si>
    <t>SPM-42</t>
  </si>
  <si>
    <t>Coordinator requests a suitable venue, with venue requirements and layout</t>
  </si>
  <si>
    <t>AC1, AC6</t>
  </si>
  <si>
    <t>SPM-42_Test_Cases.xlsx</t>
  </si>
  <si>
    <t>npm run fixtures:spm42</t>
  </si>
  <si>
    <t>SPM-42-TC04</t>
  </si>
  <si>
    <t>An event with no sessions spanning AM and PM is requested on its own date and consumes both slots in full</t>
  </si>
  <si>
    <t>AC2, AC4</t>
  </si>
  <si>
    <t>SPM-42-TC09</t>
  </si>
  <si>
    <t>A 3-session event gets one request per session, each using its session's date, time and layout</t>
  </si>
  <si>
    <t>AC4, AC5</t>
  </si>
  <si>
    <t>Expected to differ once SPM-54 merges: first 'Submit request' on an Approved event now shows the 'Begin planning?' dialog.</t>
  </si>
  <si>
    <t>SPM-42-TC11</t>
  </si>
  <si>
    <t>The request reaches Venue Staff and shows Pending</t>
  </si>
  <si>
    <t>AC7, AC8</t>
  </si>
  <si>
    <t>TC11</t>
  </si>
  <si>
    <t>SPM-46-TC01</t>
  </si>
  <si>
    <t>SPM-46</t>
  </si>
  <si>
    <t>Open a venue's availability and read the grid</t>
  </si>
  <si>
    <t>SPM-46_Test_Cases.xlsx</t>
  </si>
  <si>
    <t>SPM-46-TC09</t>
  </si>
  <si>
    <t>Two overlapping unavailable periods are identified as overlapping</t>
  </si>
  <si>
    <t>SPM-46-TC10</t>
  </si>
  <si>
    <t>An Event Coordinator and an Operations Manager can open the calendar</t>
  </si>
  <si>
    <t>SPM-46-TC12</t>
  </si>
  <si>
    <t>An approved booking blocks its slots, and is listed, even while its event is still in planning</t>
  </si>
  <si>
    <t>AC3, AC7</t>
  </si>
  <si>
    <t>SPM-47</t>
  </si>
  <si>
    <t>Coordinator records an equipment requirement with a type, quantity, and technical requirements</t>
  </si>
  <si>
    <t>SPM-47_Test_Cases.xlsx</t>
  </si>
  <si>
    <t>SPM-47-TC14</t>
  </si>
  <si>
    <t>Organiser sees the same requirements read-only and cannot edit them</t>
  </si>
  <si>
    <t>AC6, AC7</t>
  </si>
  <si>
    <t>SPM-47-TC17</t>
  </si>
  <si>
    <t>Coordinator scopes equipment requirements to individual sessions of a multi-session event</t>
  </si>
  <si>
    <t>SPM-48-TC14</t>
  </si>
  <si>
    <t>SPM-48</t>
  </si>
  <si>
    <t>Two events on the same day can both be supported when stock covers both</t>
  </si>
  <si>
    <t>SPM-48_Test_Cases.xlsx</t>
  </si>
  <si>
    <t>SPM-48-TC15</t>
  </si>
  <si>
    <t>Each session of a multi-session event is checked against its own dates</t>
  </si>
  <si>
    <t>AC3, AC5</t>
  </si>
  <si>
    <t>SPM-48-TC16</t>
  </si>
  <si>
    <t>Equipment in ConnectSphere storage leaves the fixed transfer/prep time before the event</t>
  </si>
  <si>
    <t>TC16</t>
  </si>
  <si>
    <t>SPM-48-TC19</t>
  </si>
  <si>
    <t>Units under maintenance are excluded from the available count</t>
  </si>
  <si>
    <t>SPM-48-TC21</t>
  </si>
  <si>
    <t>A request with several lines shows a result per line and one overall banner</t>
  </si>
  <si>
    <t>AC2, AC8</t>
  </si>
  <si>
    <t>TC21</t>
  </si>
  <si>
    <t>SPM-49-TC01</t>
  </si>
  <si>
    <t>SPM-49</t>
  </si>
  <si>
    <t>Reserve the full requested quantity when enough is available</t>
  </si>
  <si>
    <t>SPM-49_Test_Cases.xlsx</t>
  </si>
  <si>
    <t>SPM-49-TC05</t>
  </si>
  <si>
    <t>The reservation is still there, with its type and quantity, after reloading</t>
  </si>
  <si>
    <t>SPM-49-TC19</t>
  </si>
  <si>
    <t>Each session of a multi-session event is reserved against its own dates</t>
  </si>
  <si>
    <t>AC3, AC4, AC5</t>
  </si>
  <si>
    <t>SPM-49-TC20</t>
  </si>
  <si>
    <t>A saved reservation can be viewed by another Technical Support user</t>
  </si>
  <si>
    <t>TC20</t>
  </si>
  <si>
    <t>Sprint 2 regression: automated checks</t>
  </si>
  <si>
    <t>Run on an up-to-date main. All five must pass before manual testing starts.</t>
  </si>
  <si>
    <t>Check</t>
  </si>
  <si>
    <t>Needs</t>
  </si>
  <si>
    <t>Run by</t>
  </si>
  <si>
    <t>Date run</t>
  </si>
  <si>
    <t>Notes</t>
  </si>
  <si>
    <t>npm test</t>
  </si>
  <si>
    <t>Nothing</t>
  </si>
  <si>
    <t>npm run lint</t>
  </si>
  <si>
    <t>npm run build</t>
  </si>
  <si>
    <t>npm run verify:permissions</t>
  </si>
  <si>
    <t>npm run dev in a second terminal</t>
  </si>
  <si>
    <t>npm run verify:login</t>
  </si>
  <si>
    <t>Sprint 2 regression: scope</t>
  </si>
  <si>
    <t>Prepared 2026-10-02 against main at 8cd0ba8, plus the SPM-54 branch (in review). Recheck after the last merge of the sprint.</t>
  </si>
  <si>
    <t>Changes counted since</t>
  </si>
  <si>
    <t>In scope?</t>
  </si>
  <si>
    <t>Reason</t>
  </si>
  <si>
    <t>Cases selected</t>
  </si>
  <si>
    <t>User Login</t>
  </si>
  <si>
    <t>End of Sprint 1 (586bd68)</t>
  </si>
  <si>
    <t>Yes</t>
  </si>
  <si>
    <t>Changed on main: src/app/dashboard/page.tsx, src/lib/apiAuth.ts
Shared files changed: src/lib/permissions.ts, src/lib/roles.ts</t>
  </si>
  <si>
    <t>Role-Based Access - UI Verification</t>
  </si>
  <si>
    <t>No merge commit found; test cases written 2026-09-26 (22a8f04)</t>
  </si>
  <si>
    <t>Changed on main: src/app/assignments/page.tsx, src/app/events/[id]/page.tsx, src/app/queue/page.tsx, src/app/venues/page.tsx
Shared files changed: src/lib/eventTabs.ts, src/lib/permissions.ts, src/lib/roles.ts</t>
  </si>
  <si>
    <t>Create Event Request</t>
  </si>
  <si>
    <t>Changed on main: src/app/api/events/[id]/route.ts, src/app/api/events/route.ts, src/app/events/new/page.tsx, src/app/events/page.tsx, src/lib/validation/events.ts
Shared files changed: prisma/schema.prisma, prisma/seed.ts</t>
  </si>
  <si>
    <t>Save Draft Event Request</t>
  </si>
  <si>
    <t>Changed on main: src/app/api/events/[id]/route.ts, src/app/api/events/route.ts, src/app/events/new/page.tsx, src/app/events/page.tsx
Shared files changed: prisma/seed.ts, src/lib/statuses.ts</t>
  </si>
  <si>
    <t>Submit Event Request</t>
  </si>
  <si>
    <t>Changed on main: src/app/api/events/[id]/route.ts, src/app/events/new/page.tsx, src/app/events/page.tsx, src/lib/validation/events.ts
Shared files changed: src/lib/permissions.ts, src/lib/roles.ts, src/lib/statuses.ts</t>
  </si>
  <si>
    <t>Review Event Request</t>
  </si>
  <si>
    <t>Story merged 2026-10-01 (4859afd)</t>
  </si>
  <si>
    <t>Yes, once SPM-54 merges</t>
  </si>
  <si>
    <t>Changed by SPM-54 (not merged yet): src/app/api/events/[id]/route.ts
Shared files changed: prisma/seed.ts, src/lib/permissions.ts, src/lib/statuses.ts</t>
  </si>
  <si>
    <t>Assign Event Coordinator</t>
  </si>
  <si>
    <t>Story merged 2026-09-30 (1e4f40a)</t>
  </si>
  <si>
    <t>Changed on main: src/app/api/events/[id]/route.ts, src/app/events/[id]/page.tsx
Changed by SPM-54 (not merged yet): src/app/dashboard/page.tsx
Shared files changed: prisma/seed.ts, src/lib/permissions.ts</t>
  </si>
  <si>
    <t>View Event Information</t>
  </si>
  <si>
    <t>Story merged 2026-09-25 (424dfff)</t>
  </si>
  <si>
    <t>Changed on main: src/app/api/events/[id]/equipment/route.ts, src/app/api/events/[id]/route.ts, src/app/dashboard/page.tsx, src/app/events/[id]/page.tsx, src/app/events/new/page.tsx
Changed by SPM-54 (not merged yet): src/app/api/events/[id]/equipment/[requestId]/route.ts
Shared files changed: prisma/schema.prisma, prisma/seed.ts, src/lib/eventTabs.ts, src/lib/format.ts, src/lib/permissions.ts, src/lib/roles.ts, src/lib/statuses.ts</t>
  </si>
  <si>
    <t>Manage Venue Catalogue</t>
  </si>
  <si>
    <t>Changed on main: src/app/venues/[id]/edit/page.tsx, src/app/venues/page.tsx, src/lib/validation/venues.ts
Shared files changed: prisma/schema.prisma, src/lib/permissions.ts</t>
  </si>
  <si>
    <t>Search and Filter Suitable Venues</t>
  </si>
  <si>
    <t>Story merged 2026-09-28 (053464e)</t>
  </si>
  <si>
    <t>Changed on main: src/app/api/events/[id]/route.ts, src/app/events/[id]/venue/page.tsx, src/lib/validation/venues.ts
Changed by SPM-54 (not merged yet): src/app/venues/search/page.tsx, src/lib/venueSearchForm.ts
Shared files changed: prisma/seed.ts, src/lib/permissions.ts</t>
  </si>
  <si>
    <t>Check Venue Suitability</t>
  </si>
  <si>
    <t>Story merged 2026-09-27 (daf0788)</t>
  </si>
  <si>
    <t>Changed on main: src/app/venues/page.tsx
Shared files changed: prisma/schema.prisma, prisma/seed.ts</t>
  </si>
  <si>
    <t>Request Venue Booking</t>
  </si>
  <si>
    <t>Story merged 2026-10-01 (3f0f2e1)</t>
  </si>
  <si>
    <t>Changed by SPM-54 (not merged yet): src/lib/venueBookingRequest.ts
Shared files changed: prisma/seed.ts, src/lib/permissions.ts</t>
  </si>
  <si>
    <t>View Venue Availability</t>
  </si>
  <si>
    <t>Story merged 2026-09-28 (4df8f4d)</t>
  </si>
  <si>
    <t>Changed on main: src/app/venues/page.tsx, src/lib/validation/venues.ts
Shared files changed: src/lib/permissions.ts</t>
  </si>
  <si>
    <t>Record Equipment Requirements</t>
  </si>
  <si>
    <t>Changed on main: src/app/api/events/[id]/equipment/[requestId]/route.ts, src/app/api/events/[id]/equipment/route.ts, src/app/api/events/[id]/route.ts, src/app/events/[id]/equipment/page.tsx, src/app/events/[id]/page.tsx, src/lib/equipment.ts, src/lib/validation/equipment.ts
Shared files changed: prisma/schema.prisma, src/lib/eventTabs.ts, src/lib/permissions.ts, src/lib/roles.ts</t>
  </si>
  <si>
    <t>Check Equipment Availability</t>
  </si>
  <si>
    <t>Story merged 2026-09-28 (deea1d4)</t>
  </si>
  <si>
    <t>Changed on main: src/app/events/[id]/equipment/page.tsx</t>
  </si>
  <si>
    <t>Reserve Equipment</t>
  </si>
  <si>
    <t>Story merged 2026-09-28 (9bd17f3)</t>
  </si>
  <si>
    <t>Changed on main: src/app/events/[id]/equipment/page.tsx
Shared files changed: src/lib/permissions.ts</t>
  </si>
  <si>
    <t>SPM-54</t>
  </si>
  <si>
    <t>Begin Event Planning</t>
  </si>
  <si>
    <t>In review, not merged yet</t>
  </si>
  <si>
    <t>No</t>
  </si>
  <si>
    <t>Finished this sprint; covered by its own test pass.</t>
  </si>
  <si>
    <t>Not listed: SPM-27, SPM-43, SPM-44 and SPM-50 are still in progress. If they merge before the sprint ends, they are tested by their own test cases this sprint, but check whether they change files that the stories above depend on.</t>
  </si>
  <si>
    <t>Sprint 2 regression: smoke run</t>
  </si>
  <si>
    <t>Take one new event, titled 'REG S2 &lt;your name&gt;', through the whole flow. Do not use any story's fixture events.</t>
  </si>
  <si>
    <t>Step</t>
  </si>
  <si>
    <t>Role</t>
  </si>
  <si>
    <t>Event Organiser</t>
  </si>
  <si>
    <t>Log in, create an event request, save it as a draft, reopen it and submit it.</t>
  </si>
  <si>
    <t>Event Operations Manager</t>
  </si>
  <si>
    <t>Assign an Event Coordinator to the submitted request.</t>
  </si>
  <si>
    <t>Event Coordinator</t>
  </si>
  <si>
    <t>Review and approve the request.</t>
  </si>
  <si>
    <t>Begin planning, search for a venue, check its availability and submit a venue booking request.</t>
  </si>
  <si>
    <t>Record the equipment required.</t>
  </si>
  <si>
    <t>Technical Support Staff</t>
  </si>
  <si>
    <t>Check equipment availability and reserve it.</t>
  </si>
  <si>
    <t>Venue Staff</t>
  </si>
  <si>
    <t>Open the venue list, edit a venue and view its availability calendar.</t>
  </si>
  <si>
    <t>Every role</t>
  </si>
  <si>
    <t>Each role sees only its own sidebar links, and the organiser sees only their own events.</t>
  </si>
  <si>
    <t>Sprint 2 regression: follow-ups</t>
  </si>
  <si>
    <t>One row for each Fail (a bug) and each Changed by design or Blocked case (a test case to update).</t>
  </si>
  <si>
    <t>Jira key</t>
  </si>
  <si>
    <t>Owner</t>
  </si>
  <si>
    <t>What needs doing</t>
  </si>
  <si>
    <t>Decision (fix now / next sprint)</t>
  </si>
  <si>
    <t>Done?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</si>
</sst>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6" x14ac:knownFonts="1">
    <font>
      <sz val="11"/>
      <color theme="1"/>
      <name val="Calibri"/>
      <family val="2"/>
      <scheme val="minor"/>
    </font>
    <font>
      <b/>
      <sz val="14"/>
      <color rgb="FF1F3864"/>
      <name val="Arial"/>
    </font>
    <font>
      <i/>
      <sz val="10"/>
      <color rgb="FF595959"/>
      <name val="Arial"/>
    </font>
    <font>
      <b/>
      <sz val="10"/>
      <color rgb="FFFFFFFF"/>
      <name val="Arial"/>
    </font>
    <font>
      <sz val="10"/>
      <name val="Arial"/>
    </font>
    <font>
      <b/>
      <sz val="10"/>
      <name val="Arial"/>
    </font>
  </fonts>
  <fills count="4">
    <fill>
      <patternFill patternType="none"/>
    </fill>
    <fill>
      <patternFill patternType="gray125"/>
    </fill>
    <fill>
      <patternFill patternType="solid">
        <fgColor rgb="FF1F3864"/>
      </patternFill>
    </fill>
    <fill>
      <patternFill patternType="solid">
        <fgColor rgb="FFFFF2CC"/>
      </patternFill>
    </fill>
  </fills>
  <borders count="4">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19">
    <xf numFmtId="0" fontId="0" fillId="0" borderId="0" xfId="0"/>
    <xf numFmtId="0" fontId="1" fillId="0" borderId="0" xfId="0" applyFont="1"/>
    <xf numFmtId="0" fontId="2" fillId="0" borderId="0" xfId="0" applyFont="1"/>
    <xf numFmtId="0" fontId="5" fillId="0" borderId="1" xfId="0" applyFont="1" applyBorder="1"/>
    <xf numFmtId="0" fontId="4" fillId="0" borderId="1" xfId="0" applyFont="1" applyBorder="1" applyAlignment="1">
      <alignment vertical="top" wrapText="1"/>
    </xf>
    <xf numFmtId="164" fontId="4" fillId="3" borderId="1" xfId="0" applyNumberFormat="1" applyFont="1" applyFill="1" applyBorder="1" applyAlignment="1">
      <alignment vertical="top" wrapText="1"/>
    </xf>
    <xf numFmtId="0" fontId="4" fillId="3" borderId="1" xfId="0" applyFont="1" applyFill="1" applyBorder="1" applyAlignment="1">
      <alignment vertical="top" wrapText="1"/>
    </xf>
    <xf numFmtId="0" fontId="3" fillId="2" borderId="1" xfId="0" applyFont="1" applyFill="1" applyBorder="1" applyAlignment="1">
      <alignment vertical="center" wrapText="1"/>
    </xf>
    <xf numFmtId="0" fontId="5" fillId="0" borderId="1" xfId="0" applyFont="1" applyBorder="1" applyAlignment="1">
      <alignment vertical="top" wrapText="1"/>
    </xf>
    <xf numFmtId="0" fontId="5" fillId="0" borderId="0" xfId="0" applyFont="1" applyAlignment="1">
      <alignment vertical="top" wrapText="1"/>
    </xf>
    <xf numFmtId="0" fontId="4" fillId="0" borderId="0" xfId="0" applyFont="1" applyAlignment="1">
      <alignment vertical="top" wrapText="1"/>
    </xf>
    <xf numFmtId="0" fontId="5" fillId="0" borderId="0" xfId="0" applyFont="1"/>
    <xf numFmtId="0" fontId="2" fillId="0" borderId="0" xfId="0" applyFont="1" applyAlignment="1">
      <alignment vertical="top" wrapText="1"/>
    </xf>
    <xf numFmtId="0" fontId="4" fillId="0" borderId="0" xfId="0" applyFont="1"/>
    <xf numFmtId="0" fontId="3" fillId="2" borderId="1" xfId="0" applyFont="1" applyFill="1" applyBorder="1" applyAlignment="1">
      <alignment vertical="center" wrapText="1"/>
    </xf>
    <xf numFmtId="0" fontId="0" fillId="0" borderId="2" xfId="0" applyBorder="1"/>
    <xf numFmtId="0" fontId="0" fillId="0" borderId="3" xfId="0" applyBorder="1"/>
    <xf numFmtId="0" fontId="4" fillId="0" borderId="0" xfId="0" applyFont="1" applyAlignment="1">
      <alignment vertical="top" wrapText="1"/>
    </xf>
    <xf numFmtId="0" fontId="0" fillId="0" borderId="0" xfId="0"/>
  </cellXfs>
  <cellStyles count="1">
    <cellStyle name="Normal" xfId="0" builtinId="0"/>
  </cellStyles>
  <dxfs count="8">
    <dxf>
      <fill>
        <patternFill patternType="solid">
          <bgColor rgb="FFFFC7CE"/>
        </patternFill>
      </fill>
    </dxf>
    <dxf>
      <fill>
        <patternFill patternType="solid">
          <bgColor rgb="FFC6EFCE"/>
        </patternFill>
      </fill>
    </dxf>
    <dxf>
      <fill>
        <patternFill patternType="solid">
          <bgColor rgb="FFFFC7CE"/>
        </patternFill>
      </fill>
    </dxf>
    <dxf>
      <fill>
        <patternFill patternType="solid">
          <bgColor rgb="FFC6EFCE"/>
        </patternFill>
      </fill>
    </dxf>
    <dxf>
      <fill>
        <patternFill patternType="solid">
          <bgColor rgb="FFD9D9D9"/>
        </patternFill>
      </fill>
    </dxf>
    <dxf>
      <fill>
        <patternFill patternType="solid">
          <bgColor rgb="FFDDEBF7"/>
        </patternFill>
      </fill>
    </dxf>
    <dxf>
      <fill>
        <patternFill patternType="solid">
          <bgColor rgb="FFFFC7CE"/>
        </patternFill>
      </fill>
    </dxf>
    <dxf>
      <fill>
        <patternFill patternType="solid">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4"/>
  <sheetViews>
    <sheetView showGridLines="0" tabSelected="1" workbookViewId="0"/>
  </sheetViews>
  <sheetFormatPr defaultRowHeight="14.4" x14ac:dyDescent="0.3"/>
  <cols>
    <col min="1" max="1" width="30" customWidth="1"/>
    <col min="2" max="2" width="26" customWidth="1"/>
    <col min="3" max="4" width="16" customWidth="1"/>
    <col min="5" max="5" width="60" customWidth="1"/>
  </cols>
  <sheetData>
    <row r="1" spans="1:4" ht="17.399999999999999" x14ac:dyDescent="0.3">
      <c r="A1" s="1" t="s">
        <v>0</v>
      </c>
    </row>
    <row r="2" spans="1:4" x14ac:dyDescent="0.3">
      <c r="A2" s="2" t="s">
        <v>1</v>
      </c>
    </row>
    <row r="4" spans="1:4" x14ac:dyDescent="0.3">
      <c r="A4" s="3" t="s">
        <v>2</v>
      </c>
      <c r="B4" s="4">
        <v>2</v>
      </c>
    </row>
    <row r="5" spans="1:4" x14ac:dyDescent="0.3">
      <c r="A5" s="3" t="s">
        <v>3</v>
      </c>
      <c r="B5" s="5"/>
    </row>
    <row r="6" spans="1:4" x14ac:dyDescent="0.3">
      <c r="A6" s="3" t="s">
        <v>4</v>
      </c>
      <c r="B6" s="6"/>
    </row>
    <row r="7" spans="1:4" x14ac:dyDescent="0.3">
      <c r="A7" s="3" t="s">
        <v>5</v>
      </c>
      <c r="B7" s="6"/>
      <c r="C7" s="2" t="s">
        <v>6</v>
      </c>
    </row>
    <row r="8" spans="1:4" ht="39.6" x14ac:dyDescent="0.3">
      <c r="A8" s="3" t="s">
        <v>7</v>
      </c>
      <c r="B8" s="4" t="s">
        <v>8</v>
      </c>
    </row>
    <row r="10" spans="1:4" ht="30" customHeight="1" x14ac:dyDescent="0.3">
      <c r="A10" s="7" t="s">
        <v>9</v>
      </c>
      <c r="B10" s="7" t="s">
        <v>10</v>
      </c>
      <c r="C10" s="7" t="s">
        <v>11</v>
      </c>
      <c r="D10" s="7" t="s">
        <v>12</v>
      </c>
    </row>
    <row r="11" spans="1:4" x14ac:dyDescent="0.3">
      <c r="A11" s="8" t="s">
        <v>13</v>
      </c>
      <c r="B11" s="4">
        <f>COUNTA('Retested cases'!$A$5:$A$65)</f>
        <v>61</v>
      </c>
      <c r="C11" s="4">
        <f>COUNTA('Smoke run'!$A$5:$A$12)</f>
        <v>8</v>
      </c>
      <c r="D11" s="4">
        <f>COUNTA('Automated checks'!$A$5:$A$9)</f>
        <v>5</v>
      </c>
    </row>
    <row r="12" spans="1:4" x14ac:dyDescent="0.3">
      <c r="A12" s="8" t="s">
        <v>14</v>
      </c>
      <c r="B12" s="4">
        <f>COUNTIF('Retested cases'!$I$5:$I$65,"Pass")</f>
        <v>0</v>
      </c>
      <c r="C12" s="4">
        <f>COUNTIF('Smoke run'!$D$5:$D$12,"Pass")</f>
        <v>0</v>
      </c>
      <c r="D12" s="4">
        <f>COUNTIF('Automated checks'!$C$5:$C$9,"Pass")</f>
        <v>0</v>
      </c>
    </row>
    <row r="13" spans="1:4" x14ac:dyDescent="0.3">
      <c r="A13" s="8" t="s">
        <v>15</v>
      </c>
      <c r="B13" s="4">
        <f>COUNTIF('Retested cases'!$I$5:$I$65,"Fail")</f>
        <v>0</v>
      </c>
      <c r="C13" s="4">
        <f>COUNTIF('Smoke run'!$D$5:$D$12,"Fail")</f>
        <v>0</v>
      </c>
      <c r="D13" s="4">
        <f>COUNTIF('Automated checks'!$C$5:$C$9,"Fail")</f>
        <v>0</v>
      </c>
    </row>
    <row r="14" spans="1:4" x14ac:dyDescent="0.3">
      <c r="A14" s="8" t="s">
        <v>16</v>
      </c>
      <c r="B14" s="4">
        <f>COUNTIF('Retested cases'!$I$5:$I$65,"Changed by design")</f>
        <v>0</v>
      </c>
      <c r="C14" s="4"/>
      <c r="D14" s="4"/>
    </row>
    <row r="15" spans="1:4" x14ac:dyDescent="0.3">
      <c r="A15" s="8" t="s">
        <v>17</v>
      </c>
      <c r="B15" s="4">
        <f>COUNTIF('Retested cases'!$I$5:$I$65,"Blocked")</f>
        <v>0</v>
      </c>
      <c r="C15" s="4"/>
      <c r="D15" s="4"/>
    </row>
    <row r="16" spans="1:4" x14ac:dyDescent="0.3">
      <c r="A16" s="8" t="s">
        <v>18</v>
      </c>
      <c r="B16" s="4">
        <f>B11-SUM(B12:B15)</f>
        <v>61</v>
      </c>
      <c r="C16" s="4">
        <f>C11-SUM(C12:C13)</f>
        <v>8</v>
      </c>
      <c r="D16" s="4">
        <f>D11-SUM(D12:D13)</f>
        <v>5</v>
      </c>
    </row>
    <row r="19" spans="1:5" ht="30" customHeight="1" x14ac:dyDescent="0.3">
      <c r="A19" s="7" t="s">
        <v>19</v>
      </c>
      <c r="B19" s="14" t="s">
        <v>20</v>
      </c>
      <c r="C19" s="15"/>
      <c r="D19" s="16"/>
      <c r="E19" s="7" t="s">
        <v>21</v>
      </c>
    </row>
    <row r="20" spans="1:5" ht="30" customHeight="1" x14ac:dyDescent="0.3">
      <c r="A20" s="9" t="s">
        <v>14</v>
      </c>
      <c r="B20" s="17" t="s">
        <v>22</v>
      </c>
      <c r="C20" s="18"/>
      <c r="D20" s="18"/>
      <c r="E20" s="10" t="s">
        <v>23</v>
      </c>
    </row>
    <row r="21" spans="1:5" ht="30" customHeight="1" x14ac:dyDescent="0.3">
      <c r="A21" s="9" t="s">
        <v>15</v>
      </c>
      <c r="B21" s="17" t="s">
        <v>24</v>
      </c>
      <c r="C21" s="18"/>
      <c r="D21" s="18"/>
      <c r="E21" s="10" t="s">
        <v>25</v>
      </c>
    </row>
    <row r="22" spans="1:5" ht="30" customHeight="1" x14ac:dyDescent="0.3">
      <c r="A22" s="9" t="s">
        <v>16</v>
      </c>
      <c r="B22" s="17" t="s">
        <v>26</v>
      </c>
      <c r="C22" s="18"/>
      <c r="D22" s="18"/>
      <c r="E22" s="10" t="s">
        <v>27</v>
      </c>
    </row>
    <row r="23" spans="1:5" ht="30" customHeight="1" x14ac:dyDescent="0.3">
      <c r="A23" s="9" t="s">
        <v>17</v>
      </c>
      <c r="B23" s="17" t="s">
        <v>28</v>
      </c>
      <c r="C23" s="18"/>
      <c r="D23" s="18"/>
      <c r="E23" s="10" t="s">
        <v>29</v>
      </c>
    </row>
    <row r="26" spans="1:5" x14ac:dyDescent="0.3">
      <c r="A26" s="11" t="s">
        <v>30</v>
      </c>
    </row>
    <row r="27" spans="1:5" x14ac:dyDescent="0.3">
      <c r="A27" s="12" t="s">
        <v>31</v>
      </c>
      <c r="B27" s="12" t="s">
        <v>14</v>
      </c>
      <c r="C27" s="12" t="s">
        <v>32</v>
      </c>
      <c r="D27" s="12" t="s">
        <v>33</v>
      </c>
      <c r="E27" s="12"/>
    </row>
    <row r="28" spans="1:5" x14ac:dyDescent="0.3">
      <c r="A28" s="12" t="s">
        <v>34</v>
      </c>
      <c r="B28" s="12" t="s">
        <v>16</v>
      </c>
      <c r="C28" s="12" t="s">
        <v>35</v>
      </c>
      <c r="D28" s="12" t="s">
        <v>33</v>
      </c>
      <c r="E28" s="12" t="s">
        <v>36</v>
      </c>
    </row>
    <row r="29" spans="1:5" x14ac:dyDescent="0.3">
      <c r="A29" s="12" t="s">
        <v>37</v>
      </c>
      <c r="B29" s="12" t="s">
        <v>15</v>
      </c>
      <c r="C29" s="12" t="s">
        <v>35</v>
      </c>
      <c r="D29" s="12" t="s">
        <v>33</v>
      </c>
      <c r="E29" s="12" t="s">
        <v>38</v>
      </c>
    </row>
    <row r="31" spans="1:5" x14ac:dyDescent="0.3">
      <c r="A31" s="11" t="s">
        <v>39</v>
      </c>
    </row>
    <row r="32" spans="1:5" x14ac:dyDescent="0.3">
      <c r="A32" s="13" t="s">
        <v>40</v>
      </c>
    </row>
    <row r="33" spans="1:1" x14ac:dyDescent="0.3">
      <c r="A33" s="13" t="s">
        <v>41</v>
      </c>
    </row>
    <row r="34" spans="1:1" x14ac:dyDescent="0.3">
      <c r="A34" s="13" t="s">
        <v>42</v>
      </c>
    </row>
  </sheetData>
  <mergeCells count="5">
    <mergeCell ref="B19:D19"/>
    <mergeCell ref="B23:D23"/>
    <mergeCell ref="B22:D22"/>
    <mergeCell ref="B21:D21"/>
    <mergeCell ref="B20:D20"/>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65"/>
  <sheetViews>
    <sheetView showGridLines="0" workbookViewId="0">
      <pane xSplit="2" ySplit="4" topLeftCell="C5" activePane="bottomRight" state="frozen"/>
      <selection pane="topRight"/>
      <selection pane="bottomLeft"/>
      <selection pane="bottomRight"/>
    </sheetView>
  </sheetViews>
  <sheetFormatPr defaultRowHeight="14.4" x14ac:dyDescent="0.3"/>
  <cols>
    <col min="1" max="1" width="14" customWidth="1"/>
    <col min="2" max="2" width="9" customWidth="1"/>
    <col min="3" max="3" width="52" customWidth="1"/>
    <col min="4" max="4" width="11" customWidth="1"/>
    <col min="5" max="5" width="10" customWidth="1"/>
    <col min="6" max="6" width="26" customWidth="1"/>
    <col min="7" max="7" width="7" customWidth="1"/>
    <col min="8" max="8" width="24" customWidth="1"/>
    <col min="9" max="9" width="18" customWidth="1"/>
    <col min="10" max="10" width="14" customWidth="1"/>
    <col min="11" max="11" width="13" customWidth="1"/>
    <col min="12" max="12" width="50" customWidth="1"/>
  </cols>
  <sheetData>
    <row r="1" spans="1:12" ht="17.399999999999999" x14ac:dyDescent="0.3">
      <c r="A1" s="1" t="s">
        <v>43</v>
      </c>
    </row>
    <row r="2" spans="1:12" x14ac:dyDescent="0.3">
      <c r="A2" s="2" t="s">
        <v>44</v>
      </c>
    </row>
    <row r="4" spans="1:12" ht="30" customHeight="1" x14ac:dyDescent="0.3">
      <c r="A4" s="7" t="s">
        <v>45</v>
      </c>
      <c r="B4" s="7" t="s">
        <v>46</v>
      </c>
      <c r="C4" s="7" t="s">
        <v>47</v>
      </c>
      <c r="D4" s="7" t="s">
        <v>48</v>
      </c>
      <c r="E4" s="7" t="s">
        <v>49</v>
      </c>
      <c r="F4" s="7" t="s">
        <v>50</v>
      </c>
      <c r="G4" s="7" t="s">
        <v>51</v>
      </c>
      <c r="H4" s="7" t="s">
        <v>52</v>
      </c>
      <c r="I4" s="7" t="s">
        <v>19</v>
      </c>
      <c r="J4" s="7" t="s">
        <v>4</v>
      </c>
      <c r="K4" s="7" t="s">
        <v>3</v>
      </c>
      <c r="L4" s="7" t="s">
        <v>53</v>
      </c>
    </row>
    <row r="5" spans="1:12" x14ac:dyDescent="0.3">
      <c r="A5" s="4" t="s">
        <v>54</v>
      </c>
      <c r="B5" s="4" t="s">
        <v>55</v>
      </c>
      <c r="C5" s="4" t="s">
        <v>56</v>
      </c>
      <c r="D5" s="4" t="s">
        <v>57</v>
      </c>
      <c r="E5" s="4" t="s">
        <v>58</v>
      </c>
      <c r="F5" s="4" t="s">
        <v>59</v>
      </c>
      <c r="G5" s="4" t="s">
        <v>60</v>
      </c>
      <c r="H5" s="4" t="s">
        <v>61</v>
      </c>
      <c r="I5" s="6"/>
      <c r="J5" s="6"/>
      <c r="K5" s="5"/>
      <c r="L5" s="6"/>
    </row>
    <row r="6" spans="1:12" x14ac:dyDescent="0.3">
      <c r="A6" s="4" t="s">
        <v>62</v>
      </c>
      <c r="B6" s="4" t="s">
        <v>55</v>
      </c>
      <c r="C6" s="4" t="s">
        <v>63</v>
      </c>
      <c r="D6" s="4" t="s">
        <v>64</v>
      </c>
      <c r="E6" s="4" t="s">
        <v>58</v>
      </c>
      <c r="F6" s="4" t="s">
        <v>59</v>
      </c>
      <c r="G6" s="4" t="s">
        <v>65</v>
      </c>
      <c r="H6" s="4" t="s">
        <v>61</v>
      </c>
      <c r="I6" s="6"/>
      <c r="J6" s="6"/>
      <c r="K6" s="5"/>
      <c r="L6" s="6"/>
    </row>
    <row r="7" spans="1:12" x14ac:dyDescent="0.3">
      <c r="A7" s="4" t="s">
        <v>66</v>
      </c>
      <c r="B7" s="4" t="s">
        <v>67</v>
      </c>
      <c r="C7" s="4" t="s">
        <v>68</v>
      </c>
      <c r="D7" s="4" t="s">
        <v>57</v>
      </c>
      <c r="E7" s="4" t="s">
        <v>58</v>
      </c>
      <c r="F7" s="4" t="s">
        <v>69</v>
      </c>
      <c r="G7" s="4" t="s">
        <v>60</v>
      </c>
      <c r="H7" s="4" t="s">
        <v>61</v>
      </c>
      <c r="I7" s="6"/>
      <c r="J7" s="6"/>
      <c r="K7" s="5"/>
      <c r="L7" s="6"/>
    </row>
    <row r="8" spans="1:12" x14ac:dyDescent="0.3">
      <c r="A8" s="4" t="s">
        <v>70</v>
      </c>
      <c r="B8" s="4" t="s">
        <v>67</v>
      </c>
      <c r="C8" s="4" t="s">
        <v>71</v>
      </c>
      <c r="D8" s="4" t="s">
        <v>72</v>
      </c>
      <c r="E8" s="4" t="s">
        <v>58</v>
      </c>
      <c r="F8" s="4" t="s">
        <v>69</v>
      </c>
      <c r="G8" s="4" t="s">
        <v>73</v>
      </c>
      <c r="H8" s="4" t="s">
        <v>61</v>
      </c>
      <c r="I8" s="6"/>
      <c r="J8" s="6"/>
      <c r="K8" s="5"/>
      <c r="L8" s="6"/>
    </row>
    <row r="9" spans="1:12" ht="26.4" x14ac:dyDescent="0.3">
      <c r="A9" s="4" t="s">
        <v>74</v>
      </c>
      <c r="B9" s="4" t="s">
        <v>67</v>
      </c>
      <c r="C9" s="4" t="s">
        <v>75</v>
      </c>
      <c r="D9" s="4" t="s">
        <v>76</v>
      </c>
      <c r="E9" s="4" t="s">
        <v>58</v>
      </c>
      <c r="F9" s="4" t="s">
        <v>69</v>
      </c>
      <c r="G9" s="4" t="s">
        <v>77</v>
      </c>
      <c r="H9" s="4" t="s">
        <v>61</v>
      </c>
      <c r="I9" s="6"/>
      <c r="J9" s="6"/>
      <c r="K9" s="5"/>
      <c r="L9" s="6"/>
    </row>
    <row r="10" spans="1:12" ht="26.4" x14ac:dyDescent="0.3">
      <c r="A10" s="4" t="s">
        <v>78</v>
      </c>
      <c r="B10" s="4" t="s">
        <v>67</v>
      </c>
      <c r="C10" s="4" t="s">
        <v>79</v>
      </c>
      <c r="D10" s="4" t="s">
        <v>80</v>
      </c>
      <c r="E10" s="4" t="s">
        <v>58</v>
      </c>
      <c r="F10" s="4" t="s">
        <v>69</v>
      </c>
      <c r="G10" s="4" t="s">
        <v>81</v>
      </c>
      <c r="H10" s="4" t="s">
        <v>61</v>
      </c>
      <c r="I10" s="6"/>
      <c r="J10" s="6"/>
      <c r="K10" s="5"/>
      <c r="L10" s="6"/>
    </row>
    <row r="11" spans="1:12" x14ac:dyDescent="0.3">
      <c r="A11" s="4" t="s">
        <v>82</v>
      </c>
      <c r="B11" s="4" t="s">
        <v>83</v>
      </c>
      <c r="C11" s="4" t="s">
        <v>84</v>
      </c>
      <c r="D11" s="4" t="s">
        <v>57</v>
      </c>
      <c r="E11" s="4" t="s">
        <v>58</v>
      </c>
      <c r="F11" s="4" t="s">
        <v>85</v>
      </c>
      <c r="G11" s="4" t="s">
        <v>60</v>
      </c>
      <c r="H11" s="4" t="s">
        <v>61</v>
      </c>
      <c r="I11" s="6"/>
      <c r="J11" s="6"/>
      <c r="K11" s="5"/>
      <c r="L11" s="6"/>
    </row>
    <row r="12" spans="1:12" x14ac:dyDescent="0.3">
      <c r="A12" s="4" t="s">
        <v>86</v>
      </c>
      <c r="B12" s="4" t="s">
        <v>83</v>
      </c>
      <c r="C12" s="4" t="s">
        <v>87</v>
      </c>
      <c r="D12" s="4" t="s">
        <v>72</v>
      </c>
      <c r="E12" s="4" t="s">
        <v>58</v>
      </c>
      <c r="F12" s="4" t="s">
        <v>85</v>
      </c>
      <c r="G12" s="4" t="s">
        <v>88</v>
      </c>
      <c r="H12" s="4" t="s">
        <v>61</v>
      </c>
      <c r="I12" s="6"/>
      <c r="J12" s="6"/>
      <c r="K12" s="5"/>
      <c r="L12" s="6"/>
    </row>
    <row r="13" spans="1:12" x14ac:dyDescent="0.3">
      <c r="A13" s="4" t="s">
        <v>37</v>
      </c>
      <c r="B13" s="4" t="s">
        <v>83</v>
      </c>
      <c r="C13" s="4" t="s">
        <v>89</v>
      </c>
      <c r="D13" s="4" t="s">
        <v>64</v>
      </c>
      <c r="E13" s="4" t="s">
        <v>58</v>
      </c>
      <c r="F13" s="4" t="s">
        <v>85</v>
      </c>
      <c r="G13" s="4" t="s">
        <v>73</v>
      </c>
      <c r="H13" s="4" t="s">
        <v>61</v>
      </c>
      <c r="I13" s="6"/>
      <c r="J13" s="6"/>
      <c r="K13" s="5"/>
      <c r="L13" s="6"/>
    </row>
    <row r="14" spans="1:12" x14ac:dyDescent="0.3">
      <c r="A14" s="4" t="s">
        <v>90</v>
      </c>
      <c r="B14" s="4" t="s">
        <v>83</v>
      </c>
      <c r="C14" s="4" t="s">
        <v>91</v>
      </c>
      <c r="D14" s="4" t="s">
        <v>92</v>
      </c>
      <c r="E14" s="4" t="s">
        <v>58</v>
      </c>
      <c r="F14" s="4" t="s">
        <v>85</v>
      </c>
      <c r="G14" s="4" t="s">
        <v>93</v>
      </c>
      <c r="H14" s="4" t="s">
        <v>61</v>
      </c>
      <c r="I14" s="6"/>
      <c r="J14" s="6"/>
      <c r="K14" s="5"/>
      <c r="L14" s="6"/>
    </row>
    <row r="15" spans="1:12" x14ac:dyDescent="0.3">
      <c r="A15" s="4" t="s">
        <v>94</v>
      </c>
      <c r="B15" s="4" t="s">
        <v>83</v>
      </c>
      <c r="C15" s="4" t="s">
        <v>95</v>
      </c>
      <c r="D15" s="4" t="s">
        <v>76</v>
      </c>
      <c r="E15" s="4" t="s">
        <v>58</v>
      </c>
      <c r="F15" s="4" t="s">
        <v>85</v>
      </c>
      <c r="G15" s="4" t="s">
        <v>96</v>
      </c>
      <c r="H15" s="4" t="s">
        <v>61</v>
      </c>
      <c r="I15" s="6"/>
      <c r="J15" s="6"/>
      <c r="K15" s="5"/>
      <c r="L15" s="6"/>
    </row>
    <row r="16" spans="1:12" x14ac:dyDescent="0.3">
      <c r="A16" s="4" t="s">
        <v>97</v>
      </c>
      <c r="B16" s="4" t="s">
        <v>83</v>
      </c>
      <c r="C16" s="4" t="s">
        <v>98</v>
      </c>
      <c r="D16" s="4" t="s">
        <v>99</v>
      </c>
      <c r="E16" s="4" t="s">
        <v>58</v>
      </c>
      <c r="F16" s="4" t="s">
        <v>85</v>
      </c>
      <c r="G16" s="4" t="s">
        <v>100</v>
      </c>
      <c r="H16" s="4" t="s">
        <v>61</v>
      </c>
      <c r="I16" s="6"/>
      <c r="J16" s="6"/>
      <c r="K16" s="5"/>
      <c r="L16" s="6"/>
    </row>
    <row r="17" spans="1:12" ht="26.4" x14ac:dyDescent="0.3">
      <c r="A17" s="4" t="s">
        <v>101</v>
      </c>
      <c r="B17" s="4" t="s">
        <v>83</v>
      </c>
      <c r="C17" s="4" t="s">
        <v>102</v>
      </c>
      <c r="D17" s="4" t="s">
        <v>103</v>
      </c>
      <c r="E17" s="4" t="s">
        <v>58</v>
      </c>
      <c r="F17" s="4" t="s">
        <v>85</v>
      </c>
      <c r="G17" s="4" t="s">
        <v>104</v>
      </c>
      <c r="H17" s="4" t="s">
        <v>61</v>
      </c>
      <c r="I17" s="6"/>
      <c r="J17" s="6"/>
      <c r="K17" s="5"/>
      <c r="L17" s="6"/>
    </row>
    <row r="18" spans="1:12" x14ac:dyDescent="0.3">
      <c r="A18" s="4" t="s">
        <v>105</v>
      </c>
      <c r="B18" s="4" t="s">
        <v>106</v>
      </c>
      <c r="C18" s="4" t="s">
        <v>107</v>
      </c>
      <c r="D18" s="4" t="s">
        <v>57</v>
      </c>
      <c r="E18" s="4" t="s">
        <v>58</v>
      </c>
      <c r="F18" s="4" t="s">
        <v>108</v>
      </c>
      <c r="G18" s="4" t="s">
        <v>60</v>
      </c>
      <c r="H18" s="4" t="s">
        <v>61</v>
      </c>
      <c r="I18" s="6"/>
      <c r="J18" s="6"/>
      <c r="K18" s="5"/>
      <c r="L18" s="6" t="s">
        <v>109</v>
      </c>
    </row>
    <row r="19" spans="1:12" x14ac:dyDescent="0.3">
      <c r="A19" s="4" t="s">
        <v>110</v>
      </c>
      <c r="B19" s="4" t="s">
        <v>106</v>
      </c>
      <c r="C19" s="4" t="s">
        <v>111</v>
      </c>
      <c r="D19" s="4" t="s">
        <v>64</v>
      </c>
      <c r="E19" s="4" t="s">
        <v>58</v>
      </c>
      <c r="F19" s="4" t="s">
        <v>108</v>
      </c>
      <c r="G19" s="4" t="s">
        <v>112</v>
      </c>
      <c r="H19" s="4" t="s">
        <v>61</v>
      </c>
      <c r="I19" s="6"/>
      <c r="J19" s="6"/>
      <c r="K19" s="5"/>
      <c r="L19" s="6"/>
    </row>
    <row r="20" spans="1:12" x14ac:dyDescent="0.3">
      <c r="A20" s="4" t="s">
        <v>113</v>
      </c>
      <c r="B20" s="4" t="s">
        <v>106</v>
      </c>
      <c r="C20" s="4" t="s">
        <v>114</v>
      </c>
      <c r="D20" s="4" t="s">
        <v>92</v>
      </c>
      <c r="E20" s="4" t="s">
        <v>58</v>
      </c>
      <c r="F20" s="4" t="s">
        <v>108</v>
      </c>
      <c r="G20" s="4" t="s">
        <v>115</v>
      </c>
      <c r="H20" s="4" t="s">
        <v>61</v>
      </c>
      <c r="I20" s="6"/>
      <c r="J20" s="6"/>
      <c r="K20" s="5"/>
      <c r="L20" s="6"/>
    </row>
    <row r="21" spans="1:12" x14ac:dyDescent="0.3">
      <c r="A21" s="4" t="s">
        <v>116</v>
      </c>
      <c r="B21" s="4" t="s">
        <v>106</v>
      </c>
      <c r="C21" s="4" t="s">
        <v>117</v>
      </c>
      <c r="D21" s="4" t="s">
        <v>118</v>
      </c>
      <c r="E21" s="4" t="s">
        <v>58</v>
      </c>
      <c r="F21" s="4" t="s">
        <v>108</v>
      </c>
      <c r="G21" s="4" t="s">
        <v>119</v>
      </c>
      <c r="H21" s="4" t="s">
        <v>61</v>
      </c>
      <c r="I21" s="6"/>
      <c r="J21" s="6"/>
      <c r="K21" s="5"/>
      <c r="L21" s="6"/>
    </row>
    <row r="22" spans="1:12" ht="26.4" x14ac:dyDescent="0.3">
      <c r="A22" s="4" t="s">
        <v>120</v>
      </c>
      <c r="B22" s="4" t="s">
        <v>121</v>
      </c>
      <c r="C22" s="4" t="s">
        <v>122</v>
      </c>
      <c r="D22" s="4" t="s">
        <v>123</v>
      </c>
      <c r="E22" s="4" t="s">
        <v>58</v>
      </c>
      <c r="F22" s="4" t="s">
        <v>124</v>
      </c>
      <c r="G22" s="4" t="s">
        <v>60</v>
      </c>
      <c r="H22" s="4" t="s">
        <v>61</v>
      </c>
      <c r="I22" s="6"/>
      <c r="J22" s="6"/>
      <c r="K22" s="5"/>
      <c r="L22" s="6"/>
    </row>
    <row r="23" spans="1:12" x14ac:dyDescent="0.3">
      <c r="A23" s="4" t="s">
        <v>125</v>
      </c>
      <c r="B23" s="4" t="s">
        <v>121</v>
      </c>
      <c r="C23" s="4" t="s">
        <v>126</v>
      </c>
      <c r="D23" s="4" t="s">
        <v>64</v>
      </c>
      <c r="E23" s="4" t="s">
        <v>58</v>
      </c>
      <c r="F23" s="4" t="s">
        <v>124</v>
      </c>
      <c r="G23" s="4" t="s">
        <v>127</v>
      </c>
      <c r="H23" s="4" t="s">
        <v>61</v>
      </c>
      <c r="I23" s="6"/>
      <c r="J23" s="6"/>
      <c r="K23" s="5"/>
      <c r="L23" s="6"/>
    </row>
    <row r="24" spans="1:12" x14ac:dyDescent="0.3">
      <c r="A24" s="4" t="s">
        <v>128</v>
      </c>
      <c r="B24" s="4" t="s">
        <v>121</v>
      </c>
      <c r="C24" s="4" t="s">
        <v>129</v>
      </c>
      <c r="D24" s="4" t="s">
        <v>92</v>
      </c>
      <c r="E24" s="4" t="s">
        <v>58</v>
      </c>
      <c r="F24" s="4" t="s">
        <v>124</v>
      </c>
      <c r="G24" s="4" t="s">
        <v>112</v>
      </c>
      <c r="H24" s="4" t="s">
        <v>61</v>
      </c>
      <c r="I24" s="6"/>
      <c r="J24" s="6"/>
      <c r="K24" s="5"/>
      <c r="L24" s="6"/>
    </row>
    <row r="25" spans="1:12" ht="26.4" x14ac:dyDescent="0.3">
      <c r="A25" s="4" t="s">
        <v>130</v>
      </c>
      <c r="B25" s="4" t="s">
        <v>131</v>
      </c>
      <c r="C25" s="4" t="s">
        <v>132</v>
      </c>
      <c r="D25" s="4" t="s">
        <v>57</v>
      </c>
      <c r="E25" s="4" t="s">
        <v>58</v>
      </c>
      <c r="F25" s="4" t="s">
        <v>133</v>
      </c>
      <c r="G25" s="4" t="s">
        <v>60</v>
      </c>
      <c r="H25" s="4" t="s">
        <v>134</v>
      </c>
      <c r="I25" s="6"/>
      <c r="J25" s="6"/>
      <c r="K25" s="5"/>
      <c r="L25" s="6"/>
    </row>
    <row r="26" spans="1:12" x14ac:dyDescent="0.3">
      <c r="A26" s="4" t="s">
        <v>135</v>
      </c>
      <c r="B26" s="4" t="s">
        <v>131</v>
      </c>
      <c r="C26" s="4" t="s">
        <v>136</v>
      </c>
      <c r="D26" s="4" t="s">
        <v>72</v>
      </c>
      <c r="E26" s="4" t="s">
        <v>58</v>
      </c>
      <c r="F26" s="4" t="s">
        <v>133</v>
      </c>
      <c r="G26" s="4" t="s">
        <v>127</v>
      </c>
      <c r="H26" s="4" t="s">
        <v>134</v>
      </c>
      <c r="I26" s="6"/>
      <c r="J26" s="6"/>
      <c r="K26" s="5"/>
      <c r="L26" s="6"/>
    </row>
    <row r="27" spans="1:12" x14ac:dyDescent="0.3">
      <c r="A27" s="4" t="s">
        <v>137</v>
      </c>
      <c r="B27" s="4" t="s">
        <v>131</v>
      </c>
      <c r="C27" s="4" t="s">
        <v>138</v>
      </c>
      <c r="D27" s="4" t="s">
        <v>64</v>
      </c>
      <c r="E27" s="4" t="s">
        <v>58</v>
      </c>
      <c r="F27" s="4" t="s">
        <v>133</v>
      </c>
      <c r="G27" s="4" t="s">
        <v>112</v>
      </c>
      <c r="H27" s="4" t="s">
        <v>134</v>
      </c>
      <c r="I27" s="6"/>
      <c r="J27" s="6"/>
      <c r="K27" s="5"/>
      <c r="L27" s="6"/>
    </row>
    <row r="28" spans="1:12" x14ac:dyDescent="0.3">
      <c r="A28" s="4" t="s">
        <v>139</v>
      </c>
      <c r="B28" s="4" t="s">
        <v>131</v>
      </c>
      <c r="C28" s="4" t="s">
        <v>140</v>
      </c>
      <c r="D28" s="4" t="s">
        <v>141</v>
      </c>
      <c r="E28" s="4" t="s">
        <v>58</v>
      </c>
      <c r="F28" s="4" t="s">
        <v>133</v>
      </c>
      <c r="G28" s="4" t="s">
        <v>142</v>
      </c>
      <c r="H28" s="4" t="s">
        <v>134</v>
      </c>
      <c r="I28" s="6"/>
      <c r="J28" s="6"/>
      <c r="K28" s="5"/>
      <c r="L28" s="6"/>
    </row>
    <row r="29" spans="1:12" x14ac:dyDescent="0.3">
      <c r="A29" s="4" t="s">
        <v>143</v>
      </c>
      <c r="B29" s="4" t="s">
        <v>131</v>
      </c>
      <c r="C29" s="4" t="s">
        <v>144</v>
      </c>
      <c r="D29" s="4" t="s">
        <v>145</v>
      </c>
      <c r="E29" s="4" t="s">
        <v>58</v>
      </c>
      <c r="F29" s="4" t="s">
        <v>133</v>
      </c>
      <c r="G29" s="4" t="s">
        <v>96</v>
      </c>
      <c r="H29" s="4" t="s">
        <v>134</v>
      </c>
      <c r="I29" s="6"/>
      <c r="J29" s="6"/>
      <c r="K29" s="5"/>
      <c r="L29" s="6"/>
    </row>
    <row r="30" spans="1:12" ht="26.4" x14ac:dyDescent="0.3">
      <c r="A30" s="4" t="s">
        <v>146</v>
      </c>
      <c r="B30" s="4" t="s">
        <v>147</v>
      </c>
      <c r="C30" s="4" t="s">
        <v>148</v>
      </c>
      <c r="D30" s="4" t="s">
        <v>149</v>
      </c>
      <c r="E30" s="4" t="s">
        <v>58</v>
      </c>
      <c r="F30" s="4" t="s">
        <v>150</v>
      </c>
      <c r="G30" s="4" t="s">
        <v>142</v>
      </c>
      <c r="H30" s="4" t="s">
        <v>151</v>
      </c>
      <c r="I30" s="6"/>
      <c r="J30" s="6"/>
      <c r="K30" s="5"/>
      <c r="L30" s="6"/>
    </row>
    <row r="31" spans="1:12" x14ac:dyDescent="0.3">
      <c r="A31" s="4" t="s">
        <v>152</v>
      </c>
      <c r="B31" s="4" t="s">
        <v>147</v>
      </c>
      <c r="C31" s="4" t="s">
        <v>153</v>
      </c>
      <c r="D31" s="4" t="s">
        <v>76</v>
      </c>
      <c r="E31" s="4" t="s">
        <v>58</v>
      </c>
      <c r="F31" s="4" t="s">
        <v>150</v>
      </c>
      <c r="G31" s="4" t="s">
        <v>96</v>
      </c>
      <c r="H31" s="4" t="s">
        <v>151</v>
      </c>
      <c r="I31" s="6"/>
      <c r="J31" s="6"/>
      <c r="K31" s="5"/>
      <c r="L31" s="6"/>
    </row>
    <row r="32" spans="1:12" x14ac:dyDescent="0.3">
      <c r="A32" s="4" t="s">
        <v>154</v>
      </c>
      <c r="B32" s="4" t="s">
        <v>147</v>
      </c>
      <c r="C32" s="4" t="s">
        <v>155</v>
      </c>
      <c r="D32" s="4" t="s">
        <v>156</v>
      </c>
      <c r="E32" s="4" t="s">
        <v>58</v>
      </c>
      <c r="F32" s="4" t="s">
        <v>150</v>
      </c>
      <c r="G32" s="4" t="s">
        <v>157</v>
      </c>
      <c r="H32" s="4" t="s">
        <v>151</v>
      </c>
      <c r="I32" s="6"/>
      <c r="J32" s="6"/>
      <c r="K32" s="5"/>
      <c r="L32" s="6" t="s">
        <v>158</v>
      </c>
    </row>
    <row r="33" spans="1:12" ht="26.4" x14ac:dyDescent="0.3">
      <c r="A33" s="4" t="s">
        <v>159</v>
      </c>
      <c r="B33" s="4" t="s">
        <v>147</v>
      </c>
      <c r="C33" s="4" t="s">
        <v>160</v>
      </c>
      <c r="D33" s="4" t="s">
        <v>161</v>
      </c>
      <c r="E33" s="4" t="s">
        <v>58</v>
      </c>
      <c r="F33" s="4" t="s">
        <v>150</v>
      </c>
      <c r="G33" s="4" t="s">
        <v>119</v>
      </c>
      <c r="H33" s="4" t="s">
        <v>151</v>
      </c>
      <c r="I33" s="6"/>
      <c r="J33" s="6"/>
      <c r="K33" s="5"/>
      <c r="L33" s="6"/>
    </row>
    <row r="34" spans="1:12" ht="26.4" x14ac:dyDescent="0.3">
      <c r="A34" s="4" t="s">
        <v>162</v>
      </c>
      <c r="B34" s="4" t="s">
        <v>163</v>
      </c>
      <c r="C34" s="4" t="s">
        <v>164</v>
      </c>
      <c r="D34" s="4" t="s">
        <v>57</v>
      </c>
      <c r="E34" s="4" t="s">
        <v>58</v>
      </c>
      <c r="F34" s="4" t="s">
        <v>165</v>
      </c>
      <c r="G34" s="4" t="s">
        <v>88</v>
      </c>
      <c r="H34" s="4" t="s">
        <v>61</v>
      </c>
      <c r="I34" s="6"/>
      <c r="J34" s="6"/>
      <c r="K34" s="5"/>
      <c r="L34" s="6"/>
    </row>
    <row r="35" spans="1:12" x14ac:dyDescent="0.3">
      <c r="A35" s="4" t="s">
        <v>166</v>
      </c>
      <c r="B35" s="4" t="s">
        <v>167</v>
      </c>
      <c r="C35" s="4" t="s">
        <v>168</v>
      </c>
      <c r="D35" s="4" t="s">
        <v>57</v>
      </c>
      <c r="E35" s="4" t="s">
        <v>58</v>
      </c>
      <c r="F35" s="4" t="s">
        <v>169</v>
      </c>
      <c r="G35" s="4" t="s">
        <v>60</v>
      </c>
      <c r="H35" s="4" t="s">
        <v>61</v>
      </c>
      <c r="I35" s="6"/>
      <c r="J35" s="6"/>
      <c r="K35" s="5"/>
      <c r="L35" s="6"/>
    </row>
    <row r="36" spans="1:12" ht="26.4" x14ac:dyDescent="0.3">
      <c r="A36" s="4" t="s">
        <v>170</v>
      </c>
      <c r="B36" s="4" t="s">
        <v>167</v>
      </c>
      <c r="C36" s="4" t="s">
        <v>171</v>
      </c>
      <c r="D36" s="4" t="s">
        <v>72</v>
      </c>
      <c r="E36" s="4" t="s">
        <v>58</v>
      </c>
      <c r="F36" s="4" t="s">
        <v>169</v>
      </c>
      <c r="G36" s="4" t="s">
        <v>127</v>
      </c>
      <c r="H36" s="4" t="s">
        <v>61</v>
      </c>
      <c r="I36" s="6"/>
      <c r="J36" s="6"/>
      <c r="K36" s="5"/>
      <c r="L36" s="6"/>
    </row>
    <row r="37" spans="1:12" x14ac:dyDescent="0.3">
      <c r="A37" s="4" t="s">
        <v>172</v>
      </c>
      <c r="B37" s="4" t="s">
        <v>167</v>
      </c>
      <c r="C37" s="4" t="s">
        <v>173</v>
      </c>
      <c r="D37" s="4" t="s">
        <v>64</v>
      </c>
      <c r="E37" s="4" t="s">
        <v>58</v>
      </c>
      <c r="F37" s="4" t="s">
        <v>169</v>
      </c>
      <c r="G37" s="4" t="s">
        <v>93</v>
      </c>
      <c r="H37" s="4" t="s">
        <v>61</v>
      </c>
      <c r="I37" s="6"/>
      <c r="J37" s="6"/>
      <c r="K37" s="5"/>
      <c r="L37" s="6"/>
    </row>
    <row r="38" spans="1:12" x14ac:dyDescent="0.3">
      <c r="A38" s="4" t="s">
        <v>174</v>
      </c>
      <c r="B38" s="4" t="s">
        <v>167</v>
      </c>
      <c r="C38" s="4" t="s">
        <v>175</v>
      </c>
      <c r="D38" s="4" t="s">
        <v>92</v>
      </c>
      <c r="E38" s="4" t="s">
        <v>58</v>
      </c>
      <c r="F38" s="4" t="s">
        <v>169</v>
      </c>
      <c r="G38" s="4" t="s">
        <v>96</v>
      </c>
      <c r="H38" s="4" t="s">
        <v>61</v>
      </c>
      <c r="I38" s="6"/>
      <c r="J38" s="6"/>
      <c r="K38" s="5"/>
      <c r="L38" s="6"/>
    </row>
    <row r="39" spans="1:12" x14ac:dyDescent="0.3">
      <c r="A39" s="4" t="s">
        <v>176</v>
      </c>
      <c r="B39" s="4" t="s">
        <v>167</v>
      </c>
      <c r="C39" s="4" t="s">
        <v>177</v>
      </c>
      <c r="D39" s="4" t="s">
        <v>76</v>
      </c>
      <c r="E39" s="4" t="s">
        <v>58</v>
      </c>
      <c r="F39" s="4" t="s">
        <v>169</v>
      </c>
      <c r="G39" s="4" t="s">
        <v>157</v>
      </c>
      <c r="H39" s="4" t="s">
        <v>61</v>
      </c>
      <c r="I39" s="6"/>
      <c r="J39" s="6"/>
      <c r="K39" s="5"/>
      <c r="L39" s="6"/>
    </row>
    <row r="40" spans="1:12" x14ac:dyDescent="0.3">
      <c r="A40" s="4" t="s">
        <v>178</v>
      </c>
      <c r="B40" s="4" t="s">
        <v>167</v>
      </c>
      <c r="C40" s="4" t="s">
        <v>179</v>
      </c>
      <c r="D40" s="4" t="s">
        <v>80</v>
      </c>
      <c r="E40" s="4" t="s">
        <v>58</v>
      </c>
      <c r="F40" s="4" t="s">
        <v>169</v>
      </c>
      <c r="G40" s="4" t="s">
        <v>180</v>
      </c>
      <c r="H40" s="4" t="s">
        <v>61</v>
      </c>
      <c r="I40" s="6"/>
      <c r="J40" s="6"/>
      <c r="K40" s="5"/>
      <c r="L40" s="6"/>
    </row>
    <row r="41" spans="1:12" ht="26.4" x14ac:dyDescent="0.3">
      <c r="A41" s="4" t="s">
        <v>181</v>
      </c>
      <c r="B41" s="4" t="s">
        <v>167</v>
      </c>
      <c r="C41" s="4" t="s">
        <v>182</v>
      </c>
      <c r="D41" s="4" t="s">
        <v>99</v>
      </c>
      <c r="E41" s="4" t="s">
        <v>58</v>
      </c>
      <c r="F41" s="4" t="s">
        <v>169</v>
      </c>
      <c r="G41" s="4" t="s">
        <v>77</v>
      </c>
      <c r="H41" s="4" t="s">
        <v>61</v>
      </c>
      <c r="I41" s="6"/>
      <c r="J41" s="6"/>
      <c r="K41" s="5"/>
      <c r="L41" s="6"/>
    </row>
    <row r="42" spans="1:12" ht="52.8" x14ac:dyDescent="0.3">
      <c r="A42" s="4" t="s">
        <v>183</v>
      </c>
      <c r="B42" s="4" t="s">
        <v>184</v>
      </c>
      <c r="C42" s="4" t="s">
        <v>185</v>
      </c>
      <c r="D42" s="4" t="s">
        <v>186</v>
      </c>
      <c r="E42" s="4" t="s">
        <v>58</v>
      </c>
      <c r="F42" s="4" t="s">
        <v>187</v>
      </c>
      <c r="G42" s="4" t="s">
        <v>157</v>
      </c>
      <c r="H42" s="4" t="s">
        <v>61</v>
      </c>
      <c r="I42" s="6"/>
      <c r="J42" s="6"/>
      <c r="K42" s="5"/>
      <c r="L42" s="6"/>
    </row>
    <row r="43" spans="1:12" ht="26.4" x14ac:dyDescent="0.3">
      <c r="A43" s="4" t="s">
        <v>188</v>
      </c>
      <c r="B43" s="4" t="s">
        <v>189</v>
      </c>
      <c r="C43" s="4" t="s">
        <v>190</v>
      </c>
      <c r="D43" s="4" t="s">
        <v>191</v>
      </c>
      <c r="E43" s="4" t="s">
        <v>58</v>
      </c>
      <c r="F43" s="4" t="s">
        <v>192</v>
      </c>
      <c r="G43" s="4" t="s">
        <v>127</v>
      </c>
      <c r="H43" s="4" t="s">
        <v>61</v>
      </c>
      <c r="I43" s="6"/>
      <c r="J43" s="6"/>
      <c r="K43" s="5"/>
      <c r="L43" s="6"/>
    </row>
    <row r="44" spans="1:12" x14ac:dyDescent="0.3">
      <c r="A44" s="4" t="s">
        <v>193</v>
      </c>
      <c r="B44" s="4" t="s">
        <v>189</v>
      </c>
      <c r="C44" s="4" t="s">
        <v>194</v>
      </c>
      <c r="D44" s="4" t="s">
        <v>72</v>
      </c>
      <c r="E44" s="4" t="s">
        <v>58</v>
      </c>
      <c r="F44" s="4" t="s">
        <v>192</v>
      </c>
      <c r="G44" s="4" t="s">
        <v>112</v>
      </c>
      <c r="H44" s="4" t="s">
        <v>61</v>
      </c>
      <c r="I44" s="6"/>
      <c r="J44" s="6"/>
      <c r="K44" s="5"/>
      <c r="L44" s="6"/>
    </row>
    <row r="45" spans="1:12" x14ac:dyDescent="0.3">
      <c r="A45" s="4" t="s">
        <v>195</v>
      </c>
      <c r="B45" s="4" t="s">
        <v>189</v>
      </c>
      <c r="C45" s="4" t="s">
        <v>196</v>
      </c>
      <c r="D45" s="4" t="s">
        <v>64</v>
      </c>
      <c r="E45" s="4" t="s">
        <v>58</v>
      </c>
      <c r="F45" s="4" t="s">
        <v>192</v>
      </c>
      <c r="G45" s="4" t="s">
        <v>115</v>
      </c>
      <c r="H45" s="4" t="s">
        <v>61</v>
      </c>
      <c r="I45" s="6"/>
      <c r="J45" s="6"/>
      <c r="K45" s="5"/>
      <c r="L45" s="6"/>
    </row>
    <row r="46" spans="1:12" ht="26.4" x14ac:dyDescent="0.3">
      <c r="A46" s="4" t="s">
        <v>197</v>
      </c>
      <c r="B46" s="4" t="s">
        <v>198</v>
      </c>
      <c r="C46" s="4" t="s">
        <v>199</v>
      </c>
      <c r="D46" s="4" t="s">
        <v>200</v>
      </c>
      <c r="E46" s="4" t="s">
        <v>58</v>
      </c>
      <c r="F46" s="4" t="s">
        <v>201</v>
      </c>
      <c r="G46" s="4" t="s">
        <v>60</v>
      </c>
      <c r="H46" s="4" t="s">
        <v>202</v>
      </c>
      <c r="I46" s="6"/>
      <c r="J46" s="6"/>
      <c r="K46" s="5"/>
      <c r="L46" s="6"/>
    </row>
    <row r="47" spans="1:12" ht="26.4" x14ac:dyDescent="0.3">
      <c r="A47" s="4" t="s">
        <v>203</v>
      </c>
      <c r="B47" s="4" t="s">
        <v>198</v>
      </c>
      <c r="C47" s="4" t="s">
        <v>204</v>
      </c>
      <c r="D47" s="4" t="s">
        <v>205</v>
      </c>
      <c r="E47" s="4" t="s">
        <v>58</v>
      </c>
      <c r="F47" s="4" t="s">
        <v>201</v>
      </c>
      <c r="G47" s="4" t="s">
        <v>73</v>
      </c>
      <c r="H47" s="4" t="s">
        <v>202</v>
      </c>
      <c r="I47" s="6"/>
      <c r="J47" s="6"/>
      <c r="K47" s="5"/>
      <c r="L47" s="6"/>
    </row>
    <row r="48" spans="1:12" ht="39.6" x14ac:dyDescent="0.3">
      <c r="A48" s="4" t="s">
        <v>206</v>
      </c>
      <c r="B48" s="4" t="s">
        <v>198</v>
      </c>
      <c r="C48" s="4" t="s">
        <v>207</v>
      </c>
      <c r="D48" s="4" t="s">
        <v>208</v>
      </c>
      <c r="E48" s="4" t="s">
        <v>58</v>
      </c>
      <c r="F48" s="4" t="s">
        <v>201</v>
      </c>
      <c r="G48" s="4" t="s">
        <v>115</v>
      </c>
      <c r="H48" s="4" t="s">
        <v>202</v>
      </c>
      <c r="I48" s="6"/>
      <c r="J48" s="6"/>
      <c r="K48" s="5"/>
      <c r="L48" s="6" t="s">
        <v>209</v>
      </c>
    </row>
    <row r="49" spans="1:12" x14ac:dyDescent="0.3">
      <c r="A49" s="4" t="s">
        <v>210</v>
      </c>
      <c r="B49" s="4" t="s">
        <v>198</v>
      </c>
      <c r="C49" s="4" t="s">
        <v>211</v>
      </c>
      <c r="D49" s="4" t="s">
        <v>212</v>
      </c>
      <c r="E49" s="4" t="s">
        <v>58</v>
      </c>
      <c r="F49" s="4" t="s">
        <v>201</v>
      </c>
      <c r="G49" s="4" t="s">
        <v>213</v>
      </c>
      <c r="H49" s="4" t="s">
        <v>202</v>
      </c>
      <c r="I49" s="6"/>
      <c r="J49" s="6"/>
      <c r="K49" s="5"/>
      <c r="L49" s="6"/>
    </row>
    <row r="50" spans="1:12" x14ac:dyDescent="0.3">
      <c r="A50" s="4" t="s">
        <v>214</v>
      </c>
      <c r="B50" s="4" t="s">
        <v>215</v>
      </c>
      <c r="C50" s="4" t="s">
        <v>216</v>
      </c>
      <c r="D50" s="4" t="s">
        <v>123</v>
      </c>
      <c r="E50" s="4" t="s">
        <v>58</v>
      </c>
      <c r="F50" s="4" t="s">
        <v>217</v>
      </c>
      <c r="G50" s="4" t="s">
        <v>60</v>
      </c>
      <c r="H50" s="4" t="s">
        <v>61</v>
      </c>
      <c r="I50" s="6"/>
      <c r="J50" s="6"/>
      <c r="K50" s="5"/>
      <c r="L50" s="6"/>
    </row>
    <row r="51" spans="1:12" ht="26.4" x14ac:dyDescent="0.3">
      <c r="A51" s="4" t="s">
        <v>218</v>
      </c>
      <c r="B51" s="4" t="s">
        <v>215</v>
      </c>
      <c r="C51" s="4" t="s">
        <v>219</v>
      </c>
      <c r="D51" s="4" t="s">
        <v>76</v>
      </c>
      <c r="E51" s="4" t="s">
        <v>58</v>
      </c>
      <c r="F51" s="4" t="s">
        <v>217</v>
      </c>
      <c r="G51" s="4" t="s">
        <v>115</v>
      </c>
      <c r="H51" s="4" t="s">
        <v>61</v>
      </c>
      <c r="I51" s="6"/>
      <c r="J51" s="6"/>
      <c r="K51" s="5"/>
      <c r="L51" s="6"/>
    </row>
    <row r="52" spans="1:12" ht="26.4" x14ac:dyDescent="0.3">
      <c r="A52" s="4" t="s">
        <v>220</v>
      </c>
      <c r="B52" s="4" t="s">
        <v>215</v>
      </c>
      <c r="C52" s="4" t="s">
        <v>221</v>
      </c>
      <c r="D52" s="4" t="s">
        <v>80</v>
      </c>
      <c r="E52" s="4" t="s">
        <v>58</v>
      </c>
      <c r="F52" s="4" t="s">
        <v>217</v>
      </c>
      <c r="G52" s="4" t="s">
        <v>96</v>
      </c>
      <c r="H52" s="4" t="s">
        <v>61</v>
      </c>
      <c r="I52" s="6"/>
      <c r="J52" s="6"/>
      <c r="K52" s="5"/>
      <c r="L52" s="6"/>
    </row>
    <row r="53" spans="1:12" ht="26.4" x14ac:dyDescent="0.3">
      <c r="A53" s="4" t="s">
        <v>222</v>
      </c>
      <c r="B53" s="4" t="s">
        <v>215</v>
      </c>
      <c r="C53" s="4" t="s">
        <v>223</v>
      </c>
      <c r="D53" s="4" t="s">
        <v>224</v>
      </c>
      <c r="E53" s="4" t="s">
        <v>58</v>
      </c>
      <c r="F53" s="4" t="s">
        <v>217</v>
      </c>
      <c r="G53" s="4" t="s">
        <v>65</v>
      </c>
      <c r="H53" s="4" t="s">
        <v>61</v>
      </c>
      <c r="I53" s="6"/>
      <c r="J53" s="6"/>
      <c r="K53" s="5"/>
      <c r="L53" s="6"/>
    </row>
    <row r="54" spans="1:12" ht="26.4" x14ac:dyDescent="0.3">
      <c r="A54" s="4" t="s">
        <v>31</v>
      </c>
      <c r="B54" s="4" t="s">
        <v>225</v>
      </c>
      <c r="C54" s="4" t="s">
        <v>226</v>
      </c>
      <c r="D54" s="4" t="s">
        <v>149</v>
      </c>
      <c r="E54" s="4" t="s">
        <v>58</v>
      </c>
      <c r="F54" s="4" t="s">
        <v>227</v>
      </c>
      <c r="G54" s="4" t="s">
        <v>60</v>
      </c>
      <c r="H54" s="4" t="s">
        <v>61</v>
      </c>
      <c r="I54" s="6"/>
      <c r="J54" s="6"/>
      <c r="K54" s="5"/>
      <c r="L54" s="6"/>
    </row>
    <row r="55" spans="1:12" ht="26.4" x14ac:dyDescent="0.3">
      <c r="A55" s="4" t="s">
        <v>228</v>
      </c>
      <c r="B55" s="4" t="s">
        <v>225</v>
      </c>
      <c r="C55" s="4" t="s">
        <v>229</v>
      </c>
      <c r="D55" s="4" t="s">
        <v>230</v>
      </c>
      <c r="E55" s="4" t="s">
        <v>58</v>
      </c>
      <c r="F55" s="4" t="s">
        <v>227</v>
      </c>
      <c r="G55" s="4" t="s">
        <v>119</v>
      </c>
      <c r="H55" s="4" t="s">
        <v>61</v>
      </c>
      <c r="I55" s="6"/>
      <c r="J55" s="6"/>
      <c r="K55" s="5"/>
      <c r="L55" s="6"/>
    </row>
    <row r="56" spans="1:12" ht="26.4" x14ac:dyDescent="0.3">
      <c r="A56" s="4" t="s">
        <v>231</v>
      </c>
      <c r="B56" s="4" t="s">
        <v>225</v>
      </c>
      <c r="C56" s="4" t="s">
        <v>232</v>
      </c>
      <c r="D56" s="4" t="s">
        <v>208</v>
      </c>
      <c r="E56" s="4" t="s">
        <v>58</v>
      </c>
      <c r="F56" s="4" t="s">
        <v>227</v>
      </c>
      <c r="G56" s="4" t="s">
        <v>77</v>
      </c>
      <c r="H56" s="4" t="s">
        <v>61</v>
      </c>
      <c r="I56" s="6"/>
      <c r="J56" s="6"/>
      <c r="K56" s="5"/>
      <c r="L56" s="6"/>
    </row>
    <row r="57" spans="1:12" ht="26.4" x14ac:dyDescent="0.3">
      <c r="A57" s="4" t="s">
        <v>233</v>
      </c>
      <c r="B57" s="4" t="s">
        <v>234</v>
      </c>
      <c r="C57" s="4" t="s">
        <v>235</v>
      </c>
      <c r="D57" s="4" t="s">
        <v>208</v>
      </c>
      <c r="E57" s="4" t="s">
        <v>58</v>
      </c>
      <c r="F57" s="4" t="s">
        <v>236</v>
      </c>
      <c r="G57" s="4" t="s">
        <v>119</v>
      </c>
      <c r="H57" s="4" t="s">
        <v>61</v>
      </c>
      <c r="I57" s="6"/>
      <c r="J57" s="6"/>
      <c r="K57" s="5"/>
      <c r="L57" s="6"/>
    </row>
    <row r="58" spans="1:12" ht="26.4" x14ac:dyDescent="0.3">
      <c r="A58" s="4" t="s">
        <v>237</v>
      </c>
      <c r="B58" s="4" t="s">
        <v>234</v>
      </c>
      <c r="C58" s="4" t="s">
        <v>238</v>
      </c>
      <c r="D58" s="4" t="s">
        <v>239</v>
      </c>
      <c r="E58" s="4" t="s">
        <v>58</v>
      </c>
      <c r="F58" s="4" t="s">
        <v>236</v>
      </c>
      <c r="G58" s="4" t="s">
        <v>180</v>
      </c>
      <c r="H58" s="4" t="s">
        <v>61</v>
      </c>
      <c r="I58" s="6"/>
      <c r="J58" s="6"/>
      <c r="K58" s="5"/>
      <c r="L58" s="6"/>
    </row>
    <row r="59" spans="1:12" ht="26.4" x14ac:dyDescent="0.3">
      <c r="A59" s="4" t="s">
        <v>240</v>
      </c>
      <c r="B59" s="4" t="s">
        <v>234</v>
      </c>
      <c r="C59" s="4" t="s">
        <v>241</v>
      </c>
      <c r="D59" s="4" t="s">
        <v>80</v>
      </c>
      <c r="E59" s="4" t="s">
        <v>58</v>
      </c>
      <c r="F59" s="4" t="s">
        <v>236</v>
      </c>
      <c r="G59" s="4" t="s">
        <v>242</v>
      </c>
      <c r="H59" s="4" t="s">
        <v>61</v>
      </c>
      <c r="I59" s="6"/>
      <c r="J59" s="6"/>
      <c r="K59" s="5"/>
      <c r="L59" s="6"/>
    </row>
    <row r="60" spans="1:12" ht="26.4" x14ac:dyDescent="0.3">
      <c r="A60" s="4" t="s">
        <v>243</v>
      </c>
      <c r="B60" s="4" t="s">
        <v>234</v>
      </c>
      <c r="C60" s="4" t="s">
        <v>244</v>
      </c>
      <c r="D60" s="4" t="s">
        <v>99</v>
      </c>
      <c r="E60" s="4" t="s">
        <v>58</v>
      </c>
      <c r="F60" s="4" t="s">
        <v>236</v>
      </c>
      <c r="G60" s="4" t="s">
        <v>81</v>
      </c>
      <c r="H60" s="4" t="s">
        <v>61</v>
      </c>
      <c r="I60" s="6"/>
      <c r="J60" s="6"/>
      <c r="K60" s="5"/>
      <c r="L60" s="6"/>
    </row>
    <row r="61" spans="1:12" ht="26.4" x14ac:dyDescent="0.3">
      <c r="A61" s="4" t="s">
        <v>245</v>
      </c>
      <c r="B61" s="4" t="s">
        <v>234</v>
      </c>
      <c r="C61" s="4" t="s">
        <v>246</v>
      </c>
      <c r="D61" s="4" t="s">
        <v>247</v>
      </c>
      <c r="E61" s="4" t="s">
        <v>58</v>
      </c>
      <c r="F61" s="4" t="s">
        <v>236</v>
      </c>
      <c r="G61" s="4" t="s">
        <v>248</v>
      </c>
      <c r="H61" s="4" t="s">
        <v>61</v>
      </c>
      <c r="I61" s="6"/>
      <c r="J61" s="6"/>
      <c r="K61" s="5"/>
      <c r="L61" s="6"/>
    </row>
    <row r="62" spans="1:12" x14ac:dyDescent="0.3">
      <c r="A62" s="4" t="s">
        <v>249</v>
      </c>
      <c r="B62" s="4" t="s">
        <v>250</v>
      </c>
      <c r="C62" s="4" t="s">
        <v>251</v>
      </c>
      <c r="D62" s="4" t="s">
        <v>57</v>
      </c>
      <c r="E62" s="4" t="s">
        <v>58</v>
      </c>
      <c r="F62" s="4" t="s">
        <v>252</v>
      </c>
      <c r="G62" s="4" t="s">
        <v>60</v>
      </c>
      <c r="H62" s="4" t="s">
        <v>61</v>
      </c>
      <c r="I62" s="6"/>
      <c r="J62" s="6"/>
      <c r="K62" s="5"/>
      <c r="L62" s="6"/>
    </row>
    <row r="63" spans="1:12" ht="26.4" x14ac:dyDescent="0.3">
      <c r="A63" s="4" t="s">
        <v>253</v>
      </c>
      <c r="B63" s="4" t="s">
        <v>250</v>
      </c>
      <c r="C63" s="4" t="s">
        <v>254</v>
      </c>
      <c r="D63" s="4" t="s">
        <v>72</v>
      </c>
      <c r="E63" s="4" t="s">
        <v>58</v>
      </c>
      <c r="F63" s="4" t="s">
        <v>252</v>
      </c>
      <c r="G63" s="4" t="s">
        <v>127</v>
      </c>
      <c r="H63" s="4" t="s">
        <v>61</v>
      </c>
      <c r="I63" s="6"/>
      <c r="J63" s="6"/>
      <c r="K63" s="5"/>
      <c r="L63" s="6"/>
    </row>
    <row r="64" spans="1:12" ht="26.4" x14ac:dyDescent="0.3">
      <c r="A64" s="4" t="s">
        <v>255</v>
      </c>
      <c r="B64" s="4" t="s">
        <v>250</v>
      </c>
      <c r="C64" s="4" t="s">
        <v>256</v>
      </c>
      <c r="D64" s="4" t="s">
        <v>257</v>
      </c>
      <c r="E64" s="4" t="s">
        <v>58</v>
      </c>
      <c r="F64" s="4" t="s">
        <v>252</v>
      </c>
      <c r="G64" s="4" t="s">
        <v>81</v>
      </c>
      <c r="H64" s="4" t="s">
        <v>61</v>
      </c>
      <c r="I64" s="6"/>
      <c r="J64" s="6"/>
      <c r="K64" s="5"/>
      <c r="L64" s="6"/>
    </row>
    <row r="65" spans="1:12" ht="26.4" x14ac:dyDescent="0.3">
      <c r="A65" s="4" t="s">
        <v>258</v>
      </c>
      <c r="B65" s="4" t="s">
        <v>250</v>
      </c>
      <c r="C65" s="4" t="s">
        <v>259</v>
      </c>
      <c r="D65" s="4" t="s">
        <v>80</v>
      </c>
      <c r="E65" s="4" t="s">
        <v>58</v>
      </c>
      <c r="F65" s="4" t="s">
        <v>252</v>
      </c>
      <c r="G65" s="4" t="s">
        <v>260</v>
      </c>
      <c r="H65" s="4" t="s">
        <v>61</v>
      </c>
      <c r="I65" s="6"/>
      <c r="J65" s="6"/>
      <c r="K65" s="5"/>
      <c r="L65" s="6"/>
    </row>
  </sheetData>
  <autoFilter ref="A4:L65" xr:uid="{00000000-0009-0000-0000-000001000000}"/>
  <conditionalFormatting sqref="I5:I65">
    <cfRule type="cellIs" dxfId="7" priority="1" operator="equal">
      <formula>"Pass"</formula>
    </cfRule>
    <cfRule type="cellIs" dxfId="6" priority="2" operator="equal">
      <formula>"Fail"</formula>
    </cfRule>
    <cfRule type="cellIs" dxfId="5" priority="3" operator="equal">
      <formula>"Changed by design"</formula>
    </cfRule>
    <cfRule type="cellIs" dxfId="4" priority="4" operator="equal">
      <formula>"Blocked"</formula>
    </cfRule>
  </conditionalFormatting>
  <dataValidations count="1">
    <dataValidation type="list" allowBlank="1" error="Choose one of: Pass, Fail, Changed by design, Blocked" sqref="I5:I65" xr:uid="{00000000-0002-0000-0100-000000000000}">
      <formula1>"Pass,Fail,Changed by design,Blocked"</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9"/>
  <sheetViews>
    <sheetView showGridLines="0" workbookViewId="0"/>
  </sheetViews>
  <sheetFormatPr defaultRowHeight="14.4" x14ac:dyDescent="0.3"/>
  <cols>
    <col min="1" max="1" width="28" customWidth="1"/>
    <col min="2" max="2" width="34" customWidth="1"/>
    <col min="3" max="3" width="12" customWidth="1"/>
    <col min="4" max="4" width="14" customWidth="1"/>
    <col min="5" max="5" width="13" customWidth="1"/>
    <col min="6" max="6" width="50" customWidth="1"/>
  </cols>
  <sheetData>
    <row r="1" spans="1:6" ht="17.399999999999999" x14ac:dyDescent="0.3">
      <c r="A1" s="1" t="s">
        <v>261</v>
      </c>
    </row>
    <row r="2" spans="1:6" x14ac:dyDescent="0.3">
      <c r="A2" s="2" t="s">
        <v>262</v>
      </c>
    </row>
    <row r="4" spans="1:6" ht="30" customHeight="1" x14ac:dyDescent="0.3">
      <c r="A4" s="7" t="s">
        <v>263</v>
      </c>
      <c r="B4" s="7" t="s">
        <v>264</v>
      </c>
      <c r="C4" s="7" t="s">
        <v>19</v>
      </c>
      <c r="D4" s="7" t="s">
        <v>265</v>
      </c>
      <c r="E4" s="7" t="s">
        <v>266</v>
      </c>
      <c r="F4" s="7" t="s">
        <v>267</v>
      </c>
    </row>
    <row r="5" spans="1:6" x14ac:dyDescent="0.3">
      <c r="A5" s="4" t="s">
        <v>268</v>
      </c>
      <c r="B5" s="4" t="s">
        <v>269</v>
      </c>
      <c r="C5" s="6"/>
      <c r="D5" s="6"/>
      <c r="E5" s="5"/>
      <c r="F5" s="6"/>
    </row>
    <row r="6" spans="1:6" x14ac:dyDescent="0.3">
      <c r="A6" s="4" t="s">
        <v>270</v>
      </c>
      <c r="B6" s="4" t="s">
        <v>269</v>
      </c>
      <c r="C6" s="6"/>
      <c r="D6" s="6"/>
      <c r="E6" s="5"/>
      <c r="F6" s="6"/>
    </row>
    <row r="7" spans="1:6" x14ac:dyDescent="0.3">
      <c r="A7" s="4" t="s">
        <v>271</v>
      </c>
      <c r="B7" s="4" t="s">
        <v>269</v>
      </c>
      <c r="C7" s="6"/>
      <c r="D7" s="6"/>
      <c r="E7" s="5"/>
      <c r="F7" s="6"/>
    </row>
    <row r="8" spans="1:6" x14ac:dyDescent="0.3">
      <c r="A8" s="4" t="s">
        <v>272</v>
      </c>
      <c r="B8" s="4" t="s">
        <v>273</v>
      </c>
      <c r="C8" s="6"/>
      <c r="D8" s="6"/>
      <c r="E8" s="5"/>
      <c r="F8" s="6"/>
    </row>
    <row r="9" spans="1:6" x14ac:dyDescent="0.3">
      <c r="A9" s="4" t="s">
        <v>274</v>
      </c>
      <c r="B9" s="4" t="s">
        <v>273</v>
      </c>
      <c r="C9" s="6"/>
      <c r="D9" s="6"/>
      <c r="E9" s="5"/>
      <c r="F9" s="6"/>
    </row>
  </sheetData>
  <conditionalFormatting sqref="C5:C9">
    <cfRule type="cellIs" dxfId="3" priority="1" operator="equal">
      <formula>"Pass"</formula>
    </cfRule>
    <cfRule type="cellIs" dxfId="2" priority="2" operator="equal">
      <formula>"Fail"</formula>
    </cfRule>
  </conditionalFormatting>
  <dataValidations count="1">
    <dataValidation type="list" allowBlank="1" error="Choose one of: Pass, Fail" sqref="C5:C9" xr:uid="{00000000-0002-0000-0200-000000000000}">
      <formula1>"Pass,Fail"</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3"/>
  <sheetViews>
    <sheetView showGridLines="0" workbookViewId="0">
      <pane ySplit="4" topLeftCell="A5" activePane="bottomLeft" state="frozen"/>
      <selection pane="bottomLeft"/>
    </sheetView>
  </sheetViews>
  <sheetFormatPr defaultRowHeight="14.4" x14ac:dyDescent="0.3"/>
  <cols>
    <col min="1" max="1" width="9" customWidth="1"/>
    <col min="2" max="2" width="32" customWidth="1"/>
    <col min="3" max="3" width="8" customWidth="1"/>
    <col min="4" max="4" width="34" customWidth="1"/>
    <col min="5" max="5" width="16" customWidth="1"/>
    <col min="6" max="6" width="90" customWidth="1"/>
    <col min="7" max="7" width="10" customWidth="1"/>
  </cols>
  <sheetData>
    <row r="1" spans="1:7" ht="17.399999999999999" x14ac:dyDescent="0.3">
      <c r="A1" s="1" t="s">
        <v>275</v>
      </c>
    </row>
    <row r="2" spans="1:7" x14ac:dyDescent="0.3">
      <c r="A2" s="2" t="s">
        <v>276</v>
      </c>
    </row>
    <row r="4" spans="1:7" ht="30" customHeight="1" x14ac:dyDescent="0.3">
      <c r="A4" s="7" t="s">
        <v>46</v>
      </c>
      <c r="B4" s="7" t="s">
        <v>47</v>
      </c>
      <c r="C4" s="7" t="s">
        <v>2</v>
      </c>
      <c r="D4" s="7" t="s">
        <v>277</v>
      </c>
      <c r="E4" s="7" t="s">
        <v>278</v>
      </c>
      <c r="F4" s="7" t="s">
        <v>279</v>
      </c>
      <c r="G4" s="7" t="s">
        <v>280</v>
      </c>
    </row>
    <row r="5" spans="1:7" ht="26.4" x14ac:dyDescent="0.3">
      <c r="A5" s="4" t="s">
        <v>55</v>
      </c>
      <c r="B5" s="4" t="s">
        <v>281</v>
      </c>
      <c r="C5" s="4">
        <v>1</v>
      </c>
      <c r="D5" s="4" t="s">
        <v>282</v>
      </c>
      <c r="E5" s="4" t="s">
        <v>283</v>
      </c>
      <c r="F5" s="4" t="s">
        <v>284</v>
      </c>
      <c r="G5" s="4">
        <f>COUNTIF('Retested cases'!$B$5:$B$65,A5)</f>
        <v>2</v>
      </c>
    </row>
    <row r="6" spans="1:7" ht="39.6" x14ac:dyDescent="0.3">
      <c r="A6" s="4" t="s">
        <v>67</v>
      </c>
      <c r="B6" s="4" t="s">
        <v>285</v>
      </c>
      <c r="C6" s="4">
        <v>2</v>
      </c>
      <c r="D6" s="4" t="s">
        <v>286</v>
      </c>
      <c r="E6" s="4" t="s">
        <v>283</v>
      </c>
      <c r="F6" s="4" t="s">
        <v>287</v>
      </c>
      <c r="G6" s="4">
        <f>COUNTIF('Retested cases'!$B$5:$B$65,A6)</f>
        <v>4</v>
      </c>
    </row>
    <row r="7" spans="1:7" ht="39.6" x14ac:dyDescent="0.3">
      <c r="A7" s="4" t="s">
        <v>83</v>
      </c>
      <c r="B7" s="4" t="s">
        <v>288</v>
      </c>
      <c r="C7" s="4">
        <v>1</v>
      </c>
      <c r="D7" s="4" t="s">
        <v>282</v>
      </c>
      <c r="E7" s="4" t="s">
        <v>283</v>
      </c>
      <c r="F7" s="4" t="s">
        <v>289</v>
      </c>
      <c r="G7" s="4">
        <f>COUNTIF('Retested cases'!$B$5:$B$65,A7)</f>
        <v>7</v>
      </c>
    </row>
    <row r="8" spans="1:7" ht="39.6" x14ac:dyDescent="0.3">
      <c r="A8" s="4" t="s">
        <v>106</v>
      </c>
      <c r="B8" s="4" t="s">
        <v>290</v>
      </c>
      <c r="C8" s="4">
        <v>1</v>
      </c>
      <c r="D8" s="4" t="s">
        <v>282</v>
      </c>
      <c r="E8" s="4" t="s">
        <v>283</v>
      </c>
      <c r="F8" s="4" t="s">
        <v>291</v>
      </c>
      <c r="G8" s="4">
        <f>COUNTIF('Retested cases'!$B$5:$B$65,A8)</f>
        <v>4</v>
      </c>
    </row>
    <row r="9" spans="1:7" ht="39.6" x14ac:dyDescent="0.3">
      <c r="A9" s="4" t="s">
        <v>121</v>
      </c>
      <c r="B9" s="4" t="s">
        <v>292</v>
      </c>
      <c r="C9" s="4">
        <v>1</v>
      </c>
      <c r="D9" s="4" t="s">
        <v>282</v>
      </c>
      <c r="E9" s="4" t="s">
        <v>283</v>
      </c>
      <c r="F9" s="4" t="s">
        <v>293</v>
      </c>
      <c r="G9" s="4">
        <f>COUNTIF('Retested cases'!$B$5:$B$65,A9)</f>
        <v>3</v>
      </c>
    </row>
    <row r="10" spans="1:7" ht="26.4" x14ac:dyDescent="0.3">
      <c r="A10" s="4" t="s">
        <v>131</v>
      </c>
      <c r="B10" s="4" t="s">
        <v>294</v>
      </c>
      <c r="C10" s="4">
        <v>2</v>
      </c>
      <c r="D10" s="4" t="s">
        <v>295</v>
      </c>
      <c r="E10" s="4" t="s">
        <v>296</v>
      </c>
      <c r="F10" s="4" t="s">
        <v>297</v>
      </c>
      <c r="G10" s="4">
        <f>COUNTIF('Retested cases'!$B$5:$B$65,A10)</f>
        <v>5</v>
      </c>
    </row>
    <row r="11" spans="1:7" ht="39.6" x14ac:dyDescent="0.3">
      <c r="A11" s="4" t="s">
        <v>147</v>
      </c>
      <c r="B11" s="4" t="s">
        <v>298</v>
      </c>
      <c r="C11" s="4">
        <v>2</v>
      </c>
      <c r="D11" s="4" t="s">
        <v>299</v>
      </c>
      <c r="E11" s="4" t="s">
        <v>283</v>
      </c>
      <c r="F11" s="4" t="s">
        <v>300</v>
      </c>
      <c r="G11" s="4">
        <f>COUNTIF('Retested cases'!$B$5:$B$65,A11)</f>
        <v>4</v>
      </c>
    </row>
    <row r="12" spans="1:7" ht="66" x14ac:dyDescent="0.3">
      <c r="A12" s="4" t="s">
        <v>163</v>
      </c>
      <c r="B12" s="4" t="s">
        <v>301</v>
      </c>
      <c r="C12" s="4">
        <v>2</v>
      </c>
      <c r="D12" s="4" t="s">
        <v>302</v>
      </c>
      <c r="E12" s="4" t="s">
        <v>283</v>
      </c>
      <c r="F12" s="4" t="s">
        <v>303</v>
      </c>
      <c r="G12" s="4">
        <f>COUNTIF('Retested cases'!$B$5:$B$65,A12)</f>
        <v>1</v>
      </c>
    </row>
    <row r="13" spans="1:7" ht="26.4" x14ac:dyDescent="0.3">
      <c r="A13" s="4" t="s">
        <v>167</v>
      </c>
      <c r="B13" s="4" t="s">
        <v>304</v>
      </c>
      <c r="C13" s="4">
        <v>1</v>
      </c>
      <c r="D13" s="4" t="s">
        <v>282</v>
      </c>
      <c r="E13" s="4" t="s">
        <v>283</v>
      </c>
      <c r="F13" s="4" t="s">
        <v>305</v>
      </c>
      <c r="G13" s="4">
        <f>COUNTIF('Retested cases'!$B$5:$B$65,A13)</f>
        <v>7</v>
      </c>
    </row>
    <row r="14" spans="1:7" ht="52.8" x14ac:dyDescent="0.3">
      <c r="A14" s="4" t="s">
        <v>184</v>
      </c>
      <c r="B14" s="4" t="s">
        <v>306</v>
      </c>
      <c r="C14" s="4">
        <v>2</v>
      </c>
      <c r="D14" s="4" t="s">
        <v>307</v>
      </c>
      <c r="E14" s="4" t="s">
        <v>283</v>
      </c>
      <c r="F14" s="4" t="s">
        <v>308</v>
      </c>
      <c r="G14" s="4">
        <f>COUNTIF('Retested cases'!$B$5:$B$65,A14)</f>
        <v>1</v>
      </c>
    </row>
    <row r="15" spans="1:7" ht="26.4" x14ac:dyDescent="0.3">
      <c r="A15" s="4" t="s">
        <v>189</v>
      </c>
      <c r="B15" s="4" t="s">
        <v>309</v>
      </c>
      <c r="C15" s="4">
        <v>2</v>
      </c>
      <c r="D15" s="4" t="s">
        <v>310</v>
      </c>
      <c r="E15" s="4" t="s">
        <v>283</v>
      </c>
      <c r="F15" s="4" t="s">
        <v>311</v>
      </c>
      <c r="G15" s="4">
        <f>COUNTIF('Retested cases'!$B$5:$B$65,A15)</f>
        <v>3</v>
      </c>
    </row>
    <row r="16" spans="1:7" ht="26.4" x14ac:dyDescent="0.3">
      <c r="A16" s="4" t="s">
        <v>198</v>
      </c>
      <c r="B16" s="4" t="s">
        <v>312</v>
      </c>
      <c r="C16" s="4">
        <v>2</v>
      </c>
      <c r="D16" s="4" t="s">
        <v>313</v>
      </c>
      <c r="E16" s="4" t="s">
        <v>296</v>
      </c>
      <c r="F16" s="4" t="s">
        <v>314</v>
      </c>
      <c r="G16" s="4">
        <f>COUNTIF('Retested cases'!$B$5:$B$65,A16)</f>
        <v>4</v>
      </c>
    </row>
    <row r="17" spans="1:7" ht="26.4" x14ac:dyDescent="0.3">
      <c r="A17" s="4" t="s">
        <v>215</v>
      </c>
      <c r="B17" s="4" t="s">
        <v>315</v>
      </c>
      <c r="C17" s="4">
        <v>2</v>
      </c>
      <c r="D17" s="4" t="s">
        <v>316</v>
      </c>
      <c r="E17" s="4" t="s">
        <v>283</v>
      </c>
      <c r="F17" s="4" t="s">
        <v>317</v>
      </c>
      <c r="G17" s="4">
        <f>COUNTIF('Retested cases'!$B$5:$B$65,A17)</f>
        <v>4</v>
      </c>
    </row>
    <row r="18" spans="1:7" ht="66" x14ac:dyDescent="0.3">
      <c r="A18" s="4" t="s">
        <v>225</v>
      </c>
      <c r="B18" s="4" t="s">
        <v>318</v>
      </c>
      <c r="C18" s="4">
        <v>1</v>
      </c>
      <c r="D18" s="4" t="s">
        <v>282</v>
      </c>
      <c r="E18" s="4" t="s">
        <v>283</v>
      </c>
      <c r="F18" s="4" t="s">
        <v>319</v>
      </c>
      <c r="G18" s="4">
        <f>COUNTIF('Retested cases'!$B$5:$B$65,A18)</f>
        <v>3</v>
      </c>
    </row>
    <row r="19" spans="1:7" x14ac:dyDescent="0.3">
      <c r="A19" s="4" t="s">
        <v>234</v>
      </c>
      <c r="B19" s="4" t="s">
        <v>320</v>
      </c>
      <c r="C19" s="4">
        <v>2</v>
      </c>
      <c r="D19" s="4" t="s">
        <v>321</v>
      </c>
      <c r="E19" s="4" t="s">
        <v>283</v>
      </c>
      <c r="F19" s="4" t="s">
        <v>322</v>
      </c>
      <c r="G19" s="4">
        <f>COUNTIF('Retested cases'!$B$5:$B$65,A19)</f>
        <v>5</v>
      </c>
    </row>
    <row r="20" spans="1:7" ht="26.4" x14ac:dyDescent="0.3">
      <c r="A20" s="4" t="s">
        <v>250</v>
      </c>
      <c r="B20" s="4" t="s">
        <v>323</v>
      </c>
      <c r="C20" s="4">
        <v>2</v>
      </c>
      <c r="D20" s="4" t="s">
        <v>324</v>
      </c>
      <c r="E20" s="4" t="s">
        <v>283</v>
      </c>
      <c r="F20" s="4" t="s">
        <v>325</v>
      </c>
      <c r="G20" s="4">
        <f>COUNTIF('Retested cases'!$B$5:$B$65,A20)</f>
        <v>4</v>
      </c>
    </row>
    <row r="21" spans="1:7" x14ac:dyDescent="0.3">
      <c r="A21" s="4" t="s">
        <v>326</v>
      </c>
      <c r="B21" s="4" t="s">
        <v>327</v>
      </c>
      <c r="C21" s="4">
        <v>2</v>
      </c>
      <c r="D21" s="4" t="s">
        <v>328</v>
      </c>
      <c r="E21" s="4" t="s">
        <v>329</v>
      </c>
      <c r="F21" s="4" t="s">
        <v>330</v>
      </c>
      <c r="G21" s="4">
        <f>COUNTIF('Retested cases'!$B$5:$B$65,A21)</f>
        <v>0</v>
      </c>
    </row>
    <row r="23" spans="1:7" x14ac:dyDescent="0.3">
      <c r="A23" s="2" t="s">
        <v>331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2"/>
  <sheetViews>
    <sheetView showGridLines="0" workbookViewId="0"/>
  </sheetViews>
  <sheetFormatPr defaultRowHeight="14.4" x14ac:dyDescent="0.3"/>
  <cols>
    <col min="1" max="1" width="7" customWidth="1"/>
    <col min="2" max="2" width="26" customWidth="1"/>
    <col min="3" max="3" width="70" customWidth="1"/>
    <col min="4" max="4" width="12" customWidth="1"/>
    <col min="5" max="5" width="14" customWidth="1"/>
    <col min="6" max="6" width="50" customWidth="1"/>
  </cols>
  <sheetData>
    <row r="1" spans="1:6" ht="17.399999999999999" x14ac:dyDescent="0.3">
      <c r="A1" s="1" t="s">
        <v>332</v>
      </c>
    </row>
    <row r="2" spans="1:6" x14ac:dyDescent="0.3">
      <c r="A2" s="2" t="s">
        <v>333</v>
      </c>
    </row>
    <row r="4" spans="1:6" ht="30" customHeight="1" x14ac:dyDescent="0.3">
      <c r="A4" s="7" t="s">
        <v>334</v>
      </c>
      <c r="B4" s="7" t="s">
        <v>335</v>
      </c>
      <c r="C4" s="7" t="s">
        <v>21</v>
      </c>
      <c r="D4" s="7" t="s">
        <v>19</v>
      </c>
      <c r="E4" s="7" t="s">
        <v>4</v>
      </c>
      <c r="F4" s="7" t="s">
        <v>267</v>
      </c>
    </row>
    <row r="5" spans="1:6" x14ac:dyDescent="0.3">
      <c r="A5" s="4">
        <v>1</v>
      </c>
      <c r="B5" s="4" t="s">
        <v>336</v>
      </c>
      <c r="C5" s="4" t="s">
        <v>337</v>
      </c>
      <c r="D5" s="6"/>
      <c r="E5" s="6"/>
      <c r="F5" s="6"/>
    </row>
    <row r="6" spans="1:6" x14ac:dyDescent="0.3">
      <c r="A6" s="4">
        <v>2</v>
      </c>
      <c r="B6" s="4" t="s">
        <v>338</v>
      </c>
      <c r="C6" s="4" t="s">
        <v>339</v>
      </c>
      <c r="D6" s="6"/>
      <c r="E6" s="6"/>
      <c r="F6" s="6"/>
    </row>
    <row r="7" spans="1:6" x14ac:dyDescent="0.3">
      <c r="A7" s="4">
        <v>3</v>
      </c>
      <c r="B7" s="4" t="s">
        <v>340</v>
      </c>
      <c r="C7" s="4" t="s">
        <v>341</v>
      </c>
      <c r="D7" s="6"/>
      <c r="E7" s="6"/>
      <c r="F7" s="6"/>
    </row>
    <row r="8" spans="1:6" ht="26.4" x14ac:dyDescent="0.3">
      <c r="A8" s="4">
        <v>4</v>
      </c>
      <c r="B8" s="4" t="s">
        <v>340</v>
      </c>
      <c r="C8" s="4" t="s">
        <v>342</v>
      </c>
      <c r="D8" s="6"/>
      <c r="E8" s="6"/>
      <c r="F8" s="6"/>
    </row>
    <row r="9" spans="1:6" x14ac:dyDescent="0.3">
      <c r="A9" s="4">
        <v>5</v>
      </c>
      <c r="B9" s="4" t="s">
        <v>340</v>
      </c>
      <c r="C9" s="4" t="s">
        <v>343</v>
      </c>
      <c r="D9" s="6"/>
      <c r="E9" s="6"/>
      <c r="F9" s="6"/>
    </row>
    <row r="10" spans="1:6" x14ac:dyDescent="0.3">
      <c r="A10" s="4">
        <v>6</v>
      </c>
      <c r="B10" s="4" t="s">
        <v>344</v>
      </c>
      <c r="C10" s="4" t="s">
        <v>345</v>
      </c>
      <c r="D10" s="6"/>
      <c r="E10" s="6"/>
      <c r="F10" s="6"/>
    </row>
    <row r="11" spans="1:6" x14ac:dyDescent="0.3">
      <c r="A11" s="4">
        <v>7</v>
      </c>
      <c r="B11" s="4" t="s">
        <v>346</v>
      </c>
      <c r="C11" s="4" t="s">
        <v>347</v>
      </c>
      <c r="D11" s="6"/>
      <c r="E11" s="6"/>
      <c r="F11" s="6"/>
    </row>
    <row r="12" spans="1:6" ht="26.4" x14ac:dyDescent="0.3">
      <c r="A12" s="4">
        <v>8</v>
      </c>
      <c r="B12" s="4" t="s">
        <v>348</v>
      </c>
      <c r="C12" s="4" t="s">
        <v>349</v>
      </c>
      <c r="D12" s="6"/>
      <c r="E12" s="6"/>
      <c r="F12" s="6"/>
    </row>
  </sheetData>
  <conditionalFormatting sqref="D5:D12">
    <cfRule type="cellIs" dxfId="1" priority="1" operator="equal">
      <formula>"Pass"</formula>
    </cfRule>
    <cfRule type="cellIs" dxfId="0" priority="2" operator="equal">
      <formula>"Fail"</formula>
    </cfRule>
  </conditionalFormatting>
  <dataValidations count="1">
    <dataValidation type="list" allowBlank="1" error="Choose one of: Pass, Fail" sqref="D5:D12" xr:uid="{00000000-0002-0000-0400-000000000000}">
      <formula1>"Pass,Fail"</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4"/>
  <sheetViews>
    <sheetView showGridLines="0" workbookViewId="0"/>
  </sheetViews>
  <sheetFormatPr defaultRowHeight="14.4" x14ac:dyDescent="0.3"/>
  <cols>
    <col min="1" max="1" width="20" customWidth="1"/>
    <col min="2" max="2" width="14" customWidth="1"/>
    <col min="3" max="3" width="12" customWidth="1"/>
    <col min="4" max="4" width="14" customWidth="1"/>
    <col min="5" max="5" width="60" customWidth="1"/>
    <col min="6" max="6" width="28" customWidth="1"/>
    <col min="7" max="7" width="9" customWidth="1"/>
  </cols>
  <sheetData>
    <row r="1" spans="1:7" ht="17.399999999999999" x14ac:dyDescent="0.3">
      <c r="A1" s="1" t="s">
        <v>350</v>
      </c>
    </row>
    <row r="2" spans="1:7" x14ac:dyDescent="0.3">
      <c r="A2" s="2" t="s">
        <v>351</v>
      </c>
    </row>
    <row r="4" spans="1:7" ht="30" customHeight="1" x14ac:dyDescent="0.3">
      <c r="A4" s="7" t="s">
        <v>49</v>
      </c>
      <c r="B4" s="7" t="s">
        <v>45</v>
      </c>
      <c r="C4" s="7" t="s">
        <v>352</v>
      </c>
      <c r="D4" s="7" t="s">
        <v>353</v>
      </c>
      <c r="E4" s="7" t="s">
        <v>354</v>
      </c>
      <c r="F4" s="7" t="s">
        <v>355</v>
      </c>
      <c r="G4" s="7" t="s">
        <v>356</v>
      </c>
    </row>
    <row r="5" spans="1:7" x14ac:dyDescent="0.3">
      <c r="A5" s="6"/>
      <c r="B5" s="6"/>
      <c r="C5" s="6"/>
      <c r="D5" s="6"/>
      <c r="E5" s="6"/>
      <c r="F5" s="6"/>
      <c r="G5" s="6"/>
    </row>
    <row r="6" spans="1:7" x14ac:dyDescent="0.3">
      <c r="A6" s="6"/>
      <c r="B6" s="6"/>
      <c r="C6" s="6"/>
      <c r="D6" s="6"/>
      <c r="E6" s="6"/>
      <c r="F6" s="6"/>
      <c r="G6" s="6"/>
    </row>
    <row r="7" spans="1:7" x14ac:dyDescent="0.3">
      <c r="A7" s="6"/>
      <c r="B7" s="6"/>
      <c r="C7" s="6"/>
      <c r="D7" s="6"/>
      <c r="E7" s="6"/>
      <c r="F7" s="6"/>
      <c r="G7" s="6"/>
    </row>
    <row r="8" spans="1:7" x14ac:dyDescent="0.3">
      <c r="A8" s="6"/>
      <c r="B8" s="6"/>
      <c r="C8" s="6"/>
      <c r="D8" s="6"/>
      <c r="E8" s="6"/>
      <c r="F8" s="6"/>
      <c r="G8" s="6"/>
    </row>
    <row r="9" spans="1:7" x14ac:dyDescent="0.3">
      <c r="A9" s="6"/>
      <c r="B9" s="6"/>
      <c r="C9" s="6"/>
      <c r="D9" s="6"/>
      <c r="E9" s="6"/>
      <c r="F9" s="6"/>
      <c r="G9" s="6"/>
    </row>
    <row r="10" spans="1:7" x14ac:dyDescent="0.3">
      <c r="A10" s="6"/>
      <c r="B10" s="6"/>
      <c r="C10" s="6"/>
      <c r="D10" s="6"/>
      <c r="E10" s="6"/>
      <c r="F10" s="6"/>
      <c r="G10" s="6"/>
    </row>
    <row r="11" spans="1:7" x14ac:dyDescent="0.3">
      <c r="A11" s="6"/>
      <c r="B11" s="6"/>
      <c r="C11" s="6"/>
      <c r="D11" s="6"/>
      <c r="E11" s="6"/>
      <c r="F11" s="6"/>
      <c r="G11" s="6"/>
    </row>
    <row r="12" spans="1:7" x14ac:dyDescent="0.3">
      <c r="A12" s="6"/>
      <c r="B12" s="6"/>
      <c r="C12" s="6"/>
      <c r="D12" s="6"/>
      <c r="E12" s="6"/>
      <c r="F12" s="6"/>
      <c r="G12" s="6"/>
    </row>
    <row r="13" spans="1:7" x14ac:dyDescent="0.3">
      <c r="A13" s="6"/>
      <c r="B13" s="6"/>
      <c r="C13" s="6"/>
      <c r="D13" s="6"/>
      <c r="E13" s="6"/>
      <c r="F13" s="6"/>
      <c r="G13" s="6"/>
    </row>
    <row r="14" spans="1:7" x14ac:dyDescent="0.3">
      <c r="A14" s="6"/>
      <c r="B14" s="6"/>
      <c r="C14" s="6"/>
      <c r="D14" s="6"/>
      <c r="E14" s="6"/>
      <c r="F14" s="6"/>
      <c r="G14" s="6"/>
    </row>
    <row r="15" spans="1:7" x14ac:dyDescent="0.3">
      <c r="A15" s="6"/>
      <c r="B15" s="6"/>
      <c r="C15" s="6"/>
      <c r="D15" s="6"/>
      <c r="E15" s="6"/>
      <c r="F15" s="6"/>
      <c r="G15" s="6"/>
    </row>
    <row r="16" spans="1:7" x14ac:dyDescent="0.3">
      <c r="A16" s="6"/>
      <c r="B16" s="6"/>
      <c r="C16" s="6"/>
      <c r="D16" s="6"/>
      <c r="E16" s="6"/>
      <c r="F16" s="6"/>
      <c r="G16" s="6"/>
    </row>
    <row r="17" spans="1:7" x14ac:dyDescent="0.3">
      <c r="A17" s="6"/>
      <c r="B17" s="6"/>
      <c r="C17" s="6"/>
      <c r="D17" s="6"/>
      <c r="E17" s="6"/>
      <c r="F17" s="6"/>
      <c r="G17" s="6"/>
    </row>
    <row r="18" spans="1:7" x14ac:dyDescent="0.3">
      <c r="A18" s="6"/>
      <c r="B18" s="6"/>
      <c r="C18" s="6"/>
      <c r="D18" s="6"/>
      <c r="E18" s="6"/>
      <c r="F18" s="6"/>
      <c r="G18" s="6"/>
    </row>
    <row r="19" spans="1:7" x14ac:dyDescent="0.3">
      <c r="A19" s="6"/>
      <c r="B19" s="6"/>
      <c r="C19" s="6"/>
      <c r="D19" s="6"/>
      <c r="E19" s="6"/>
      <c r="F19" s="6"/>
      <c r="G19" s="6"/>
    </row>
    <row r="20" spans="1:7" x14ac:dyDescent="0.3">
      <c r="A20" s="6"/>
      <c r="B20" s="6"/>
      <c r="C20" s="6"/>
      <c r="D20" s="6"/>
      <c r="E20" s="6"/>
      <c r="F20" s="6"/>
      <c r="G20" s="6"/>
    </row>
    <row r="21" spans="1:7" x14ac:dyDescent="0.3">
      <c r="A21" s="6"/>
      <c r="B21" s="6"/>
      <c r="C21" s="6"/>
      <c r="D21" s="6"/>
      <c r="E21" s="6"/>
      <c r="F21" s="6"/>
      <c r="G21" s="6"/>
    </row>
    <row r="22" spans="1:7" x14ac:dyDescent="0.3">
      <c r="A22" s="6"/>
      <c r="B22" s="6"/>
      <c r="C22" s="6"/>
      <c r="D22" s="6"/>
      <c r="E22" s="6"/>
      <c r="F22" s="6"/>
      <c r="G22" s="6"/>
    </row>
    <row r="23" spans="1:7" x14ac:dyDescent="0.3">
      <c r="A23" s="6"/>
      <c r="B23" s="6"/>
      <c r="C23" s="6"/>
      <c r="D23" s="6"/>
      <c r="E23" s="6"/>
      <c r="F23" s="6"/>
      <c r="G23" s="6"/>
    </row>
    <row r="24" spans="1:7" x14ac:dyDescent="0.3">
      <c r="A24" s="6"/>
      <c r="B24" s="6"/>
      <c r="C24" s="6"/>
      <c r="D24" s="6"/>
      <c r="E24" s="6"/>
      <c r="F24" s="6"/>
      <c r="G24" s="6"/>
    </row>
  </sheetData>
  <dataValidations count="2">
    <dataValidation type="list" allowBlank="1" sqref="A5:A24" xr:uid="{00000000-0002-0000-0500-000000000000}">
      <formula1>"Bug,Test case update"</formula1>
    </dataValidation>
    <dataValidation type="list" allowBlank="1" sqref="G5:G24" xr:uid="{00000000-0002-0000-0500-000001000000}">
      <formula1>"Yes,No"</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Retested cases</vt:lpstr>
      <vt:lpstr>Automated checks</vt:lpstr>
      <vt:lpstr>Scope</vt:lpstr>
      <vt:lpstr>Smoke run</vt:lpstr>
      <vt:lpstr>Follow-ups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Kristen CHOONG Hui Qi</cp:lastModifiedBy>
  <dcterms:created xsi:type="dcterms:W3CDTF">2026-10-02T09:25:17Z</dcterms:created>
  <dcterms:modified xsi:type="dcterms:W3CDTF">2026-10-02T09:25:26Z</dcterms:modified>
</cp:coreProperties>
</file>