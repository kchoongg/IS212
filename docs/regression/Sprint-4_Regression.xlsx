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Smoke run" sheetId="2" state="visible" r:id="rId2"/>
    <sheet name="Kayalvizhi" sheetId="3" state="visible" r:id="rId3"/>
    <sheet name="Jordan" sheetId="4" state="visible" r:id="rId4"/>
    <sheet name="Janelle" sheetId="5" state="visible" r:id="rId5"/>
    <sheet name="Sammi" sheetId="6" state="visible" r:id="rId6"/>
    <sheet name="Kristen" sheetId="7" state="visible" r:id="rId7"/>
    <sheet name="Out-of-date cases" sheetId="8" state="visible" r:id="rId8"/>
    <sheet name="Scope" sheetId="9" state="visible" r:id="rId9"/>
  </sheets>
  <definedNames>
    <definedName name="_xlnm._FilterDatabase" localSheetId="7" hidden="1">'Out-of-date cases'!$A$4:$J$87</definedName>
  </definedNames>
  <calcPr calcId="124519" fullCalcOnLoad="1"/>
</workbook>
</file>

<file path=xl/styles.xml><?xml version="1.0" encoding="utf-8"?>
<styleSheet xmlns="http://schemas.openxmlformats.org/spreadsheetml/2006/main">
  <numFmts count="3">
    <numFmt numFmtId="164" formatCode="d/m/yyyy"/>
    <numFmt numFmtId="165" formatCode="d/m/yy"/>
    <numFmt numFmtId="166" formatCode="d mmmm yyyy"/>
  </numFmts>
  <fonts count="9">
    <font>
      <name val="Calibri"/>
      <color theme="1"/>
      <sz val="11"/>
      <scheme val="minor"/>
    </font>
    <font>
      <name val="Arial"/>
      <b val="1"/>
      <color rgb="FF1F3864"/>
      <sz val="14"/>
    </font>
    <font>
      <name val="Arial"/>
      <i val="1"/>
      <color rgb="FF595959"/>
      <sz val="10"/>
    </font>
    <font>
      <name val="Arial"/>
      <b val="1"/>
      <color rgb="FFFFFFFF"/>
      <sz val="10"/>
    </font>
    <font>
      <name val="Arial"/>
      <color theme="1"/>
      <sz val="10"/>
    </font>
    <font>
      <name val="Calibri"/>
      <b val="1"/>
      <color theme="1"/>
      <scheme val="minor"/>
    </font>
    <font>
      <name val="Calibri"/>
      <color theme="1"/>
      <sz val="11"/>
    </font>
    <font/>
    <font>
      <name val="Calibri"/>
      <color theme="1"/>
      <scheme val="minor"/>
    </font>
  </fonts>
  <fills count="5">
    <fill>
      <patternFill/>
    </fill>
    <fill>
      <patternFill patternType="lightGray"/>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s>
  <borders count="8">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s>
  <cellStyleXfs count="1">
    <xf numFmtId="0" fontId="0" fillId="0" borderId="0"/>
  </cellStyleXfs>
  <cellXfs count="24">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4" borderId="2" pivotButton="0" quotePrefix="0" xfId="0"/>
    <xf numFmtId="0" fontId="4" fillId="3" borderId="1" applyAlignment="1" pivotButton="0" quotePrefix="0" xfId="0">
      <alignment vertical="top" wrapText="1"/>
    </xf>
    <xf numFmtId="0" fontId="6" fillId="4" borderId="2" pivotButton="0" quotePrefix="0" xfId="0"/>
    <xf numFmtId="0" fontId="3" fillId="2" borderId="3" applyAlignment="1" pivotButton="0" quotePrefix="0" xfId="0">
      <alignment vertical="center" wrapText="1"/>
    </xf>
    <xf numFmtId="0" fontId="7" fillId="0" borderId="4" pivotButton="0" quotePrefix="0" xfId="0"/>
    <xf numFmtId="0" fontId="7" fillId="0" borderId="5" pivotButton="0" quotePrefix="0" xfId="0"/>
    <xf numFmtId="0" fontId="4" fillId="0" borderId="3" applyAlignment="1" pivotButton="0" quotePrefix="0" xfId="0">
      <alignment vertical="top" wrapText="1"/>
    </xf>
    <xf numFmtId="164" fontId="4" fillId="3" borderId="1" applyAlignment="1" pivotButton="0" quotePrefix="0" xfId="0">
      <alignment vertical="top" wrapText="1"/>
    </xf>
    <xf numFmtId="165" fontId="4" fillId="3" borderId="1" applyAlignment="1" pivotButton="0" quotePrefix="0" xfId="0">
      <alignment vertical="top" wrapText="1"/>
    </xf>
    <xf numFmtId="0" fontId="5" fillId="0" borderId="0" pivotButton="0" quotePrefix="0" xfId="0"/>
    <xf numFmtId="0" fontId="6" fillId="4" borderId="2" pivotButton="0" quotePrefix="0" xfId="0"/>
    <xf numFmtId="0" fontId="4" fillId="0" borderId="1" applyAlignment="1" pivotButton="0" quotePrefix="0" xfId="0">
      <alignment vertical="top" wrapText="1"/>
    </xf>
    <xf numFmtId="166" fontId="4" fillId="3" borderId="1" applyAlignment="1" pivotButton="0" quotePrefix="0" xfId="0">
      <alignment vertical="top" wrapText="1"/>
    </xf>
    <xf numFmtId="0" fontId="8" fillId="0" borderId="0" pivotButton="0" quotePrefix="0" xfId="0"/>
    <xf numFmtId="0" fontId="8" fillId="0" borderId="0" pivotButton="0" quotePrefix="0" xfId="0"/>
    <xf numFmtId="0" fontId="0" fillId="0" borderId="0" pivotButton="0" quotePrefix="0" xfId="0"/>
    <xf numFmtId="0" fontId="0" fillId="0" borderId="4" pivotButton="0" quotePrefix="0" xfId="0"/>
    <xf numFmtId="0" fontId="0" fillId="0" borderId="5" pivotButton="0" quotePrefix="0" xfId="0"/>
  </cellXfs>
  <cellStyles count="1">
    <cellStyle name="Normal" xfId="0" builtinId="0"/>
  </cellStyles>
  <dxfs count="4">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B9C"/>
          <bgColor rgb="FFFFEB9C"/>
        </patternFill>
      </fill>
      <border/>
    </dxf>
    <dxf>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ColWidth="14.43" defaultRowHeight="15" customHeight="1"/>
  <cols>
    <col width="30" customWidth="1" style="21" min="1" max="1"/>
    <col width="16" customWidth="1" style="21" min="2" max="2"/>
    <col width="12" customWidth="1" style="21" min="3" max="4"/>
    <col width="18" customWidth="1" style="21" min="5" max="5"/>
    <col width="12" customWidth="1" style="21" min="6" max="7"/>
    <col width="8.710000000000001" customWidth="1" style="21" min="8" max="26"/>
  </cols>
  <sheetData>
    <row r="1">
      <c r="A1" s="1" t="inlineStr">
        <is>
          <t>Sprint 4 regression test</t>
        </is>
      </c>
    </row>
    <row r="2">
      <c r="A2" s="2" t="inlineStr">
        <is>
          <t>Process: docs/REGRESSION_TESTING.md. Yellow cells are for you to fill in; everything else is pre-filled or calculated.</t>
        </is>
      </c>
    </row>
    <row r="4">
      <c r="A4" s="17" t="inlineStr">
        <is>
          <t>Sprint</t>
        </is>
      </c>
      <c r="B4" s="17" t="n">
        <v>4</v>
      </c>
    </row>
    <row r="5">
      <c r="A5" s="17" t="inlineStr">
        <is>
          <t>Date tested</t>
        </is>
      </c>
      <c r="B5" s="7" t="n"/>
    </row>
    <row r="6">
      <c r="A6" s="17" t="inlineStr">
        <is>
          <t>Tested by</t>
        </is>
      </c>
      <c r="B6" s="7" t="n"/>
    </row>
    <row r="7">
      <c r="A7" s="17" t="inlineStr">
        <is>
          <t>Commit tested (main)</t>
        </is>
      </c>
      <c r="B7" s="7" t="n"/>
      <c r="C7" s="17" t="inlineStr">
        <is>
          <t>git rev-parse --short HEAD</t>
        </is>
      </c>
    </row>
    <row r="8">
      <c r="A8" s="17" t="inlineStr">
        <is>
          <t>Baseline</t>
        </is>
      </c>
      <c r="B8" s="17" t="inlineStr">
        <is>
          <t>a635cd6 (tag sprint-3, the end of Sprint 3, 18 Oct 2026)</t>
        </is>
      </c>
    </row>
    <row r="10">
      <c r="A10" s="3" t="inlineStr">
        <is>
          <t>Automated checks</t>
        </is>
      </c>
      <c r="B10" s="3" t="inlineStr">
        <is>
          <t>Result</t>
        </is>
      </c>
      <c r="C10" s="3" t="inlineStr">
        <is>
          <t>Run by</t>
        </is>
      </c>
      <c r="D10" s="3" t="inlineStr">
        <is>
          <t>Notes</t>
        </is>
      </c>
      <c r="E10" s="22" t="n"/>
      <c r="F10" s="22" t="n"/>
      <c r="G10" s="23" t="n"/>
    </row>
    <row r="11">
      <c r="A11" s="17" t="inlineStr">
        <is>
          <t>CI is green on main for the commit tested</t>
        </is>
      </c>
      <c r="B11" s="7" t="n"/>
      <c r="C11" s="7" t="n"/>
      <c r="D11" s="17" t="inlineStr">
        <is>
          <t>GitHub Actions tab: lint, type-check, unit tests, test cases, build, migrations, end-to-end.</t>
        </is>
      </c>
      <c r="E11" s="22" t="n"/>
      <c r="F11" s="22" t="n"/>
      <c r="G11" s="23" t="n"/>
    </row>
    <row r="12">
      <c r="A12" s="17" t="inlineStr">
        <is>
          <t>npm run verify:permissions</t>
        </is>
      </c>
      <c r="B12" s="7" t="n"/>
      <c r="C12" s="7" t="n"/>
      <c r="D12" s="17" t="inlineStr">
        <is>
          <t>With npm run dev running in a second terminal.</t>
        </is>
      </c>
      <c r="E12" s="22" t="n"/>
      <c r="F12" s="22" t="n"/>
      <c r="G12" s="23" t="n"/>
    </row>
    <row r="13">
      <c r="A13" s="17" t="inlineStr">
        <is>
          <t>npm run verify:login</t>
        </is>
      </c>
      <c r="B13" s="7" t="n"/>
      <c r="C13" s="7" t="n"/>
      <c r="D13" s="17" t="inlineStr">
        <is>
          <t>With npm run dev running in a second terminal.</t>
        </is>
      </c>
      <c r="E13" s="22" t="n"/>
      <c r="F13" s="22" t="n"/>
      <c r="G13" s="23" t="n"/>
    </row>
    <row r="16">
      <c r="A16" s="3" t="inlineStr">
        <is>
          <t>Results</t>
        </is>
      </c>
      <c r="B16" s="3" t="inlineStr">
        <is>
          <t>Cases</t>
        </is>
      </c>
      <c r="C16" s="3" t="inlineStr">
        <is>
          <t>Pass</t>
        </is>
      </c>
      <c r="D16" s="3" t="inlineStr">
        <is>
          <t>Fail</t>
        </is>
      </c>
      <c r="E16" s="3" t="inlineStr">
        <is>
          <t>Changed by design</t>
        </is>
      </c>
      <c r="F16" s="3" t="inlineStr">
        <is>
          <t>Blocked</t>
        </is>
      </c>
      <c r="G16" s="3" t="inlineStr">
        <is>
          <t>Not run yet</t>
        </is>
      </c>
    </row>
    <row r="17">
      <c r="A17" s="17" t="inlineStr">
        <is>
          <t>Kayalvizhi - Accounts, event requests, event information and equipment release</t>
        </is>
      </c>
      <c r="B17" s="17">
        <f>COUNT(Kayalvizhi!$A$5:$A$60)</f>
        <v/>
      </c>
      <c r="C17" s="17">
        <f>COUNTIF(Kayalvizhi!$J$5:$J$60,"Pass")</f>
        <v/>
      </c>
      <c r="D17" s="17">
        <f>COUNTIF(Kayalvizhi!$J$5:$J$60,"Fail")</f>
        <v/>
      </c>
      <c r="E17" s="17">
        <f>COUNTIF(Kayalvizhi!$J$5:$J$60,"Changed by design")</f>
        <v/>
      </c>
      <c r="F17" s="17">
        <f>COUNTIF(Kayalvizhi!$J$5:$J$60,"Blocked")</f>
        <v/>
      </c>
      <c r="G17" s="17">
        <f>B17-SUM(C17:F17)</f>
        <v/>
      </c>
    </row>
    <row r="18">
      <c r="A18" s="17" t="inlineStr">
        <is>
          <t>Jordan - Review, planning, readiness, event outcomes and the waiting list</t>
        </is>
      </c>
      <c r="B18" s="17">
        <f>COUNT(Jordan!$A$5:$A$54)</f>
        <v/>
      </c>
      <c r="C18" s="17">
        <f>COUNTIF(Jordan!$J$5:$J$54,"Pass")</f>
        <v/>
      </c>
      <c r="D18" s="17">
        <f>COUNTIF(Jordan!$J$5:$J$54,"Fail")</f>
        <v/>
      </c>
      <c r="E18" s="17">
        <f>COUNTIF(Jordan!$J$5:$J$54,"Changed by design")</f>
        <v/>
      </c>
      <c r="F18" s="17">
        <f>COUNTIF(Jordan!$J$5:$J$54,"Blocked")</f>
        <v/>
      </c>
      <c r="G18" s="17">
        <f>B18-SUM(C18:F18)</f>
        <v/>
      </c>
    </row>
    <row r="19">
      <c r="A19" s="17" t="inlineStr">
        <is>
          <t>Janelle - Venue catalogue, availability, notifications, registration and alternative equipment</t>
        </is>
      </c>
      <c r="B19" s="17">
        <f>COUNT(Janelle!$A$5:$A$56)</f>
        <v/>
      </c>
      <c r="C19" s="17">
        <f>COUNTIF(Janelle!$J$5:$J$56,"Pass")</f>
        <v/>
      </c>
      <c r="D19" s="17">
        <f>COUNTIF(Janelle!$J$5:$J$56,"Fail")</f>
        <v/>
      </c>
      <c r="E19" s="17">
        <f>COUNTIF(Janelle!$J$5:$J$56,"Changed by design")</f>
        <v/>
      </c>
      <c r="F19" s="17">
        <f>COUNTIF(Janelle!$J$5:$J$56,"Blocked")</f>
        <v/>
      </c>
      <c r="G19" s="17">
        <f>B19-SUM(C19:F19)</f>
        <v/>
      </c>
    </row>
    <row r="20">
      <c r="A20" s="17" t="inlineStr">
        <is>
          <t>Sammi - Venue booking requests, registration setup and attendee lists</t>
        </is>
      </c>
      <c r="B20" s="17">
        <f>COUNT(Sammi!$A$5:$A$56)</f>
        <v/>
      </c>
      <c r="C20" s="17">
        <f>COUNTIF(Sammi!$J$5:$J$56,"Pass")</f>
        <v/>
      </c>
      <c r="D20" s="17">
        <f>COUNTIF(Sammi!$J$5:$J$56,"Fail")</f>
        <v/>
      </c>
      <c r="E20" s="17">
        <f>COUNTIF(Sammi!$J$5:$J$56,"Changed by design")</f>
        <v/>
      </c>
      <c r="F20" s="17">
        <f>COUNTIF(Sammi!$J$5:$J$56,"Blocked")</f>
        <v/>
      </c>
      <c r="G20" s="17">
        <f>B20-SUM(C20:F20)</f>
        <v/>
      </c>
    </row>
    <row r="21" ht="15.75" customHeight="1" s="21">
      <c r="A21" s="17" t="inlineStr">
        <is>
          <t>Kristen - Equipment, the safety check and change requests</t>
        </is>
      </c>
      <c r="B21" s="17">
        <f>COUNT(Kristen!$A$5:$A$56)</f>
        <v/>
      </c>
      <c r="C21" s="17">
        <f>COUNTIF(Kristen!$J$5:$J$56,"Pass")</f>
        <v/>
      </c>
      <c r="D21" s="17">
        <f>COUNTIF(Kristen!$J$5:$J$56,"Fail")</f>
        <v/>
      </c>
      <c r="E21" s="17">
        <f>COUNTIF(Kristen!$J$5:$J$56,"Changed by design")</f>
        <v/>
      </c>
      <c r="F21" s="17">
        <f>COUNTIF(Kristen!$J$5:$J$56,"Blocked")</f>
        <v/>
      </c>
      <c r="G21" s="17">
        <f>B21-SUM(C21:F21)</f>
        <v/>
      </c>
    </row>
    <row r="22" ht="15.75" customHeight="1" s="21">
      <c r="A22" s="17" t="inlineStr">
        <is>
          <t>Smoke run</t>
        </is>
      </c>
      <c r="B22" s="17">
        <f>COUNTA('Smoke run'!$A$5:$A$41)</f>
        <v/>
      </c>
      <c r="C22" s="17">
        <f>COUNTIF('Smoke run'!$G$5:$G$41,"Pass")</f>
        <v/>
      </c>
      <c r="D22" s="17">
        <f>COUNTIF('Smoke run'!$G$5:$G$41,"Fail")</f>
        <v/>
      </c>
      <c r="E22" s="17" t="n"/>
      <c r="F22" s="17" t="n"/>
      <c r="G22" s="17">
        <f>B22-SUM(C22:D22)</f>
        <v/>
      </c>
    </row>
    <row r="23" ht="15.75" customHeight="1" s="21">
      <c r="A23" s="15" t="inlineStr">
        <is>
          <t>Total</t>
        </is>
      </c>
      <c r="B23" s="15">
        <f>SUM(B17:B22)</f>
        <v/>
      </c>
      <c r="C23" s="15">
        <f>SUM(C17:C22)</f>
        <v/>
      </c>
      <c r="D23" s="15">
        <f>SUM(D17:D22)</f>
        <v/>
      </c>
      <c r="E23" s="15">
        <f>SUM(E17:E22)</f>
        <v/>
      </c>
      <c r="F23" s="15">
        <f>SUM(F17:F22)</f>
        <v/>
      </c>
      <c r="G23" s="15">
        <f>SUM(G17:G22)</f>
        <v/>
      </c>
    </row>
    <row r="24" ht="15.75" customHeight="1" s="21"/>
    <row r="25" ht="15.75" customHeight="1" s="21">
      <c r="A25" s="3" t="inlineStr">
        <is>
          <t>Result</t>
        </is>
      </c>
      <c r="B25" s="3" t="inlineStr">
        <is>
          <t>Meaning</t>
        </is>
      </c>
      <c r="C25" s="22" t="n"/>
      <c r="D25" s="23" t="n"/>
      <c r="E25" s="3" t="inlineStr">
        <is>
          <t>What to do</t>
        </is>
      </c>
      <c r="F25" s="22" t="n"/>
      <c r="G25" s="23" t="n"/>
    </row>
    <row r="26" ht="30" customHeight="1" s="21">
      <c r="A26" s="17" t="inlineStr">
        <is>
          <t>Pass</t>
        </is>
      </c>
      <c r="B26" s="17" t="inlineStr">
        <is>
          <t>The app matches the expected result.</t>
        </is>
      </c>
      <c r="C26" s="22" t="n"/>
      <c r="D26" s="23" t="n"/>
      <c r="E26" s="17" t="inlineStr">
        <is>
          <t>Nothing.</t>
        </is>
      </c>
      <c r="F26" s="22" t="n"/>
      <c r="G26" s="23" t="n"/>
    </row>
    <row r="27" ht="30" customHeight="1" s="21">
      <c r="A27" s="17" t="inlineStr">
        <is>
          <t>Fail</t>
        </is>
      </c>
      <c r="B27" s="17" t="inlineStr">
        <is>
          <t>The app is wrong.</t>
        </is>
      </c>
      <c r="C27" s="22" t="n"/>
      <c r="D27" s="23" t="n"/>
      <c r="E27" s="17" t="inlineStr">
        <is>
          <t>Raise a Jira bug linked to the story and put its key in Notes.</t>
        </is>
      </c>
      <c r="F27" s="22" t="n"/>
      <c r="G27" s="23" t="n"/>
    </row>
    <row r="28" ht="30" customHeight="1" s="21">
      <c r="A28" s="17" t="inlineStr">
        <is>
          <t>Changed by design</t>
        </is>
      </c>
      <c r="B28" s="17" t="inlineStr">
        <is>
          <t>The app differs because a later story changed it on purpose.</t>
        </is>
      </c>
      <c r="C28" s="22" t="n"/>
      <c r="D28" s="23" t="n"/>
      <c r="E28" s="17" t="inlineStr">
        <is>
          <t>Name that story in Notes, and add the case to 'Out-of-date cases' if it is not there already.</t>
        </is>
      </c>
      <c r="F28" s="22" t="n"/>
      <c r="G28" s="23" t="n"/>
    </row>
    <row r="29" ht="30" customHeight="1" s="21">
      <c r="A29" s="17" t="inlineStr">
        <is>
          <t>Blocked</t>
        </is>
      </c>
      <c r="B29" s="17" t="inlineStr">
        <is>
          <t>The case could not be run, e.g. its test data is missing.</t>
        </is>
      </c>
      <c r="C29" s="22" t="n"/>
      <c r="D29" s="23" t="n"/>
      <c r="E29" s="17" t="inlineStr">
        <is>
          <t>Say why in Notes.</t>
        </is>
      </c>
      <c r="F29" s="22" t="n"/>
      <c r="G29" s="23" t="n"/>
    </row>
    <row r="30" ht="15.75" customHeight="1" s="21"/>
    <row r="31" ht="15.75" customHeight="1" s="21">
      <c r="A31" s="15" t="inlineStr">
        <is>
          <t>Rules</t>
        </is>
      </c>
    </row>
    <row r="32" ht="15.75" customHeight="1" s="21">
      <c r="A32" s="17" t="inlineStr">
        <is>
          <t>Never run npx prisma db seed. Use the fixture script named in the blue row before each story.</t>
        </is>
      </c>
    </row>
    <row r="33" ht="15.75" customHeight="1" s="21">
      <c r="A33" s="17" t="inlineStr">
        <is>
          <t>Do not type results into the story workbooks in docs/test-cases/. Everything for this run is in this file.</t>
        </is>
      </c>
    </row>
    <row r="34" ht="15.75" customHeight="1" s="21">
      <c r="A34" s="17" t="inlineStr">
        <is>
          <t>If a fix merges after a Fail, rerun the case and add a new row for it under the original. Keep the Fail row.</t>
        </is>
      </c>
    </row>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4">
    <mergeCell ref="B28:D28"/>
    <mergeCell ref="E28:G28"/>
    <mergeCell ref="B29:D29"/>
    <mergeCell ref="D12:G12"/>
    <mergeCell ref="E27:G27"/>
    <mergeCell ref="B26:D26"/>
    <mergeCell ref="B27:D27"/>
    <mergeCell ref="E26:G26"/>
    <mergeCell ref="E29:G29"/>
    <mergeCell ref="D11:G11"/>
    <mergeCell ref="D13:G13"/>
    <mergeCell ref="D10:G10"/>
    <mergeCell ref="B25:D25"/>
    <mergeCell ref="E25:G25"/>
  </mergeCells>
  <conditionalFormatting sqref="B11:B13">
    <cfRule type="cellIs" priority="1" operator="equal" dxfId="0">
      <formula>"Pass"</formula>
    </cfRule>
    <cfRule type="cellIs" priority="2" operator="equal" dxfId="1">
      <formula>"Fail"</formula>
    </cfRule>
  </conditionalFormatting>
  <dataValidations count="1">
    <dataValidation sqref="B11:B13" showDropDown="0" showInputMessage="0" showErrorMessage="0" allowBlank="1" type="list">
      <formula1>"Pass,Fail"</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41"/>
  <sheetViews>
    <sheetView workbookViewId="0">
      <pane ySplit="4" topLeftCell="A5" activePane="bottomLeft" state="frozen"/>
      <selection pane="bottomLeft" activeCell="B6" sqref="B6"/>
    </sheetView>
  </sheetViews>
  <sheetFormatPr baseColWidth="8" defaultColWidth="14.43" defaultRowHeight="15" customHeight="1"/>
  <cols>
    <col width="6" customWidth="1" style="21" min="1" max="1"/>
    <col width="16" customWidth="1" style="21" min="2" max="2"/>
    <col width="30" customWidth="1" style="21" min="3" max="3"/>
    <col width="62" customWidth="1" style="21" min="4" max="4"/>
    <col width="52" customWidth="1" style="21" min="5" max="5"/>
    <col width="16" customWidth="1" style="21" min="6" max="6"/>
    <col width="12" customWidth="1" style="21" min="7" max="7"/>
    <col width="40" customWidth="1" style="21" min="8" max="8"/>
    <col width="8.710000000000001" customWidth="1" style="21" min="9" max="26"/>
  </cols>
  <sheetData>
    <row r="1">
      <c r="A1" s="1" t="inlineStr">
        <is>
          <t>Sprint 4 regression: smoke run</t>
        </is>
      </c>
    </row>
    <row r="2">
      <c r="A2" s="2" t="inlineStr">
        <is>
          <t>A relay on a call, before splitting up: each person stays logged in as their role(s) on their own laptop and does their steps when the event reaches them, in order. Take one new event, titled 'REG S4 Smoke', from request to cancellation, plus a second event for the withdrawal in step 36 - do not use any story's fixture events. Password for every account: password123. Use an event date about 4 weeks ahead, with times on the quarter hour (e.g. 10:00-12:00). Change 'Who' if you swap roles. Marking an event completed needs an event that has ended, so it is covered by SPM-36 on Jordan's sheet, not here.</t>
        </is>
      </c>
    </row>
    <row r="4">
      <c r="A4" s="3" t="inlineStr">
        <is>
          <t>Step</t>
        </is>
      </c>
      <c r="B4" s="3" t="inlineStr">
        <is>
          <t>Who</t>
        </is>
      </c>
      <c r="C4" s="3" t="inlineStr">
        <is>
          <t>Role (log in as)</t>
        </is>
      </c>
      <c r="D4" s="3" t="inlineStr">
        <is>
          <t>What to do</t>
        </is>
      </c>
      <c r="E4" s="3" t="inlineStr">
        <is>
          <t>Check</t>
        </is>
      </c>
      <c r="F4" s="3" t="inlineStr">
        <is>
          <t>Stories</t>
        </is>
      </c>
      <c r="G4" s="3" t="inlineStr">
        <is>
          <t>Result</t>
        </is>
      </c>
      <c r="H4" s="3" t="inlineStr">
        <is>
          <t>Notes</t>
        </is>
      </c>
    </row>
    <row r="5" ht="48" customHeight="1" s="21">
      <c r="A5" s="17" t="n">
        <v>1</v>
      </c>
      <c r="B5" s="7" t="inlineStr">
        <is>
          <t>Kristen</t>
        </is>
      </c>
      <c r="C5" s="17" t="inlineStr">
        <is>
          <t>Event Organiser
rachel.ng@meridianfina.com</t>
        </is>
      </c>
      <c r="D5" s="17" t="inlineStr">
        <is>
          <t>Create an event request titled 'REG S4 Smoke', expected attendance 120. Save it as a draft, reopen it from My Events and submit it.</t>
        </is>
      </c>
      <c r="E5" s="17" t="inlineStr">
        <is>
          <t>Status is Submitted. My Events lists only Rachel's own events.</t>
        </is>
      </c>
      <c r="F5" s="17" t="inlineStr">
        <is>
          <t>SPM-23, 24, 25, 31</t>
        </is>
      </c>
      <c r="G5" s="7" t="n"/>
      <c r="H5" s="7" t="n"/>
    </row>
    <row r="6" ht="63" customHeight="1" s="21">
      <c r="A6" s="17" t="n">
        <v>2</v>
      </c>
      <c r="B6" s="7" t="inlineStr">
        <is>
          <t>Kristen</t>
        </is>
      </c>
      <c r="C6" s="17" t="inlineStr">
        <is>
          <t>Event Coordinator Lead
grace.lim@connectsphere.com</t>
        </is>
      </c>
      <c r="D6" s="17" t="inlineStr">
        <is>
          <t>Notifications: open 'New event request submitted'. Assignments: assign Daniel Tan to the event.</t>
        </is>
      </c>
      <c r="E6" s="17" t="inlineStr">
        <is>
          <t>The notification names the event. The top bar shows the role as Event Coordinator Lead. Status is Under review. Rachel sees Daniel Tan as the coordinator and has a notification naming him.</t>
        </is>
      </c>
      <c r="F6" s="17" t="inlineStr">
        <is>
          <t>SPM-30, 53, 84</t>
        </is>
      </c>
      <c r="G6" s="7" t="n"/>
      <c r="H6" s="7" t="n"/>
    </row>
    <row r="7" ht="33" customHeight="1" s="21">
      <c r="A7" s="17" t="n">
        <v>3</v>
      </c>
      <c r="B7" s="7" t="inlineStr">
        <is>
          <t>Janelle</t>
        </is>
      </c>
      <c r="C7" s="17" t="inlineStr">
        <is>
          <t>Safety Officer
hana.yusof@connectsphere.com</t>
        </is>
      </c>
      <c r="D7" s="17" t="inlineStr">
        <is>
          <t>All Events: look for the event.</t>
        </is>
      </c>
      <c r="E7" s="17" t="inlineStr">
        <is>
          <t>The event is not listed: this role sees events only from Approved onwards.</t>
        </is>
      </c>
      <c r="F7" s="17" t="inlineStr">
        <is>
          <t>SPM-94</t>
        </is>
      </c>
      <c r="G7" s="7" t="n"/>
      <c r="H7" s="7" t="n"/>
    </row>
    <row r="8" ht="63" customHeight="1" s="21">
      <c r="A8" s="17" t="n">
        <v>4</v>
      </c>
      <c r="B8" s="7" t="inlineStr">
        <is>
          <t>Jordan</t>
        </is>
      </c>
      <c r="C8" s="17" t="inlineStr">
        <is>
          <t>Event Coordinator
daniel.tan@connectsphere.com</t>
        </is>
      </c>
      <c r="D8" s="17" t="inlineStr">
        <is>
          <t>Notifications: confirm the assignment. Review Queue: open the event, click 'Review request', choose 'Ask the organiser for clarification', tick 'Purpose', write a message and click 'Send request'.</t>
        </is>
      </c>
      <c r="E8" s="17" t="inlineStr">
        <is>
          <t>A green 'Clarification requested' message shows. Status stays Under review, with an 'Open clarification' box.</t>
        </is>
      </c>
      <c r="F8" s="17" t="inlineStr">
        <is>
          <t>SPM-29, 53</t>
        </is>
      </c>
      <c r="G8" s="7" t="n"/>
      <c r="H8" s="7" t="n"/>
    </row>
    <row r="9" ht="48" customHeight="1" s="21">
      <c r="A9" s="17" t="n">
        <v>5</v>
      </c>
      <c r="B9" s="7" t="inlineStr">
        <is>
          <t>Kristen</t>
        </is>
      </c>
      <c r="C9" s="17" t="inlineStr">
        <is>
          <t>Event Organiser</t>
        </is>
      </c>
      <c r="D9" s="17" t="inlineStr">
        <is>
          <t>Notifications: open 'Clarification requested'. On the event, click 'Update request', change the description and click 'Resubmit request'.</t>
        </is>
      </c>
      <c r="E9" s="17" t="inlineStr">
        <is>
          <t>The notification carries the coordinator's message. The event page reads 'Your updated request has been sent to Daniel Tan. It stays Under review.'</t>
        </is>
      </c>
      <c r="F9" s="17" t="inlineStr">
        <is>
          <t>SPM-26, 53</t>
        </is>
      </c>
      <c r="G9" s="7" t="n"/>
      <c r="H9" s="7" t="n"/>
    </row>
    <row r="10" ht="33" customHeight="1" s="21">
      <c r="A10" s="17" t="n">
        <v>6</v>
      </c>
      <c r="B10" s="7" t="inlineStr">
        <is>
          <t>Jordan</t>
        </is>
      </c>
      <c r="C10" s="17" t="inlineStr">
        <is>
          <t>Event Coordinator</t>
        </is>
      </c>
      <c r="D10" s="17" t="inlineStr">
        <is>
          <t>Review the request again, approve it, then begin planning.</t>
        </is>
      </c>
      <c r="E10" s="17" t="inlineStr">
        <is>
          <t>Status is Planning. Rachel has a notification of the review outcome.</t>
        </is>
      </c>
      <c r="F10" s="17" t="inlineStr">
        <is>
          <t>SPM-28, 53, 54</t>
        </is>
      </c>
      <c r="G10" s="7" t="n"/>
      <c r="H10" s="7" t="n"/>
    </row>
    <row r="11" ht="33" customHeight="1" s="21">
      <c r="A11" s="17" t="n">
        <v>7</v>
      </c>
      <c r="B11" s="7" t="inlineStr">
        <is>
          <t>Jordan</t>
        </is>
      </c>
      <c r="C11" s="17" t="inlineStr">
        <is>
          <t>Event Coordinator</t>
        </is>
      </c>
      <c r="D11" s="17" t="inlineStr">
        <is>
          <t>Update the event information with an ordinary edit (e.g. the description only).</t>
        </is>
      </c>
      <c r="E11" s="17" t="inlineStr">
        <is>
          <t>The change is saved. No arrangement is flagged and the status stays Planning.</t>
        </is>
      </c>
      <c r="F11" s="17" t="inlineStr">
        <is>
          <t>SPM-62</t>
        </is>
      </c>
      <c r="G11" s="7" t="n"/>
      <c r="H11" s="7" t="n"/>
    </row>
    <row r="12" ht="48" customHeight="1" s="21">
      <c r="A12" s="17" t="n">
        <v>8</v>
      </c>
      <c r="B12" s="7" t="inlineStr">
        <is>
          <t>Jordan</t>
        </is>
      </c>
      <c r="C12" s="17" t="inlineStr">
        <is>
          <t>Event Coordinator</t>
        </is>
      </c>
      <c r="D12" s="17" t="inlineStr">
        <is>
          <t>Venue tab: request two venues for the same times: a main room (purpose "Main programme", 120 people) and a breakout room (purpose "Breakout", 40 people), each with its own layout.</t>
        </is>
      </c>
      <c r="E12" s="17" t="inlineStr">
        <is>
          <t>Both bookings show on the event as Pending, each with its own venue, purpose, times and hold expiry. Each venue was checked against its own attendance and layout.</t>
        </is>
      </c>
      <c r="F12" s="17" t="inlineStr">
        <is>
          <t>SPM-40, 41, 42, 44, 81, 82, 90, 93</t>
        </is>
      </c>
      <c r="G12" s="7" t="n"/>
      <c r="H12" s="7" t="n"/>
    </row>
    <row r="13" ht="33" customHeight="1" s="21">
      <c r="A13" s="17" t="n">
        <v>9</v>
      </c>
      <c r="B13" s="7" t="inlineStr">
        <is>
          <t>Jordan</t>
        </is>
      </c>
      <c r="C13" s="17" t="inlineStr">
        <is>
          <t>Event Coordinator</t>
        </is>
      </c>
      <c r="D13" s="17" t="inlineStr">
        <is>
          <t>Equipment tab: record three requirements for three different items, each quantity 1.</t>
        </is>
      </c>
      <c r="E13" s="17" t="inlineStr">
        <is>
          <t>All three are saved and show as Requested.</t>
        </is>
      </c>
      <c r="F13" s="17" t="inlineStr">
        <is>
          <t>SPM-47</t>
        </is>
      </c>
      <c r="G13" s="7" t="n"/>
      <c r="H13" s="7" t="n"/>
    </row>
    <row r="14" ht="93" customHeight="1" s="21">
      <c r="A14" s="17" t="n">
        <v>10</v>
      </c>
      <c r="B14" s="7" t="inlineStr">
        <is>
          <t>Kayalvizhi</t>
        </is>
      </c>
      <c r="C14" s="17" t="inlineStr">
        <is>
          <t>Technical Support Staff
kenji.sato@connectsphere.com</t>
        </is>
      </c>
      <c r="D14" s="17" t="inlineStr">
        <is>
          <t>Equipment Requests: open the event's request and check availability. Reserve the first two lines. Mark the third 'Cannot be provided' with a note, click 'Suggest alternative', choose another item with stock, write a note and click 'Record suggestion'. Then mark one unrelated equipment item under maintenance and return it to available.</t>
        </is>
      </c>
      <c r="E14" s="17" t="inlineStr">
        <is>
          <t>Two lines show Reserved. The third shows Cannot be provided with the suggestion. 'Suggestion sent to the Coordinator.' appears. The item's status changes and changes back.</t>
        </is>
      </c>
      <c r="F14" s="17" t="inlineStr">
        <is>
          <t>SPM-48, 49, 50, 55, 77</t>
        </is>
      </c>
      <c r="G14" s="7" t="n"/>
      <c r="H14" s="7" t="n"/>
    </row>
    <row r="15" ht="48" customHeight="1" s="21">
      <c r="A15" s="17" t="n">
        <v>11</v>
      </c>
      <c r="B15" s="7" t="inlineStr">
        <is>
          <t>Jordan</t>
        </is>
      </c>
      <c r="C15" s="17" t="inlineStr">
        <is>
          <t>Event Coordinator</t>
        </is>
      </c>
      <c r="D15" s="17" t="inlineStr">
        <is>
          <t>Equipment tab: on the third line click 'Accept', then 'Accept' in the dialog.</t>
        </is>
      </c>
      <c r="E15" s="17" t="inlineStr">
        <is>
          <t>'Alternative accepted. Technical Support will reserve it.' appears. The line becomes the alternative item, status Requested.</t>
        </is>
      </c>
      <c r="F15" s="17" t="inlineStr">
        <is>
          <t>SPM-77</t>
        </is>
      </c>
      <c r="G15" s="7" t="n"/>
      <c r="H15" s="7" t="n"/>
    </row>
    <row r="16" ht="18" customHeight="1" s="21">
      <c r="A16" s="17" t="n">
        <v>12</v>
      </c>
      <c r="B16" s="7" t="inlineStr">
        <is>
          <t>Kayalvizhi</t>
        </is>
      </c>
      <c r="C16" s="17" t="inlineStr">
        <is>
          <t>Technical Support Staff</t>
        </is>
      </c>
      <c r="D16" s="17" t="inlineStr">
        <is>
          <t>Open the event's request again and reserve the alternative.</t>
        </is>
      </c>
      <c r="E16" s="17" t="inlineStr">
        <is>
          <t>All three lines show Reserved.</t>
        </is>
      </c>
      <c r="F16" s="17" t="inlineStr">
        <is>
          <t>SPM-49, 77</t>
        </is>
      </c>
      <c r="G16" s="7" t="n"/>
      <c r="H16" s="7" t="n"/>
    </row>
    <row r="17" ht="48" customHeight="1" s="21">
      <c r="A17" s="17" t="n">
        <v>13</v>
      </c>
      <c r="B17" s="7" t="inlineStr">
        <is>
          <t>Kayalvizhi</t>
        </is>
      </c>
      <c r="C17" s="17" t="inlineStr">
        <is>
          <t>Venue Staff
marcus.wong@connectsphere.com</t>
        </is>
      </c>
      <c r="D17" s="17" t="inlineStr">
        <is>
          <t>Booking Requests: approve both of the event's requests.</t>
        </is>
      </c>
      <c r="E17" s="17" t="inlineStr">
        <is>
          <t>Each request shows its purpose, the requested times and the room in use including setup and turnaround. Both bookings are Approved.</t>
        </is>
      </c>
      <c r="F17" s="17" t="inlineStr">
        <is>
          <t>SPM-43, 53, 90, 93</t>
        </is>
      </c>
      <c r="G17" s="7" t="n"/>
      <c r="H17" s="7" t="n"/>
    </row>
    <row r="18" ht="33" customHeight="1" s="21">
      <c r="A18" s="17" t="n">
        <v>14</v>
      </c>
      <c r="B18" s="7" t="inlineStr">
        <is>
          <t>Kayalvizhi</t>
        </is>
      </c>
      <c r="C18" s="17" t="inlineStr">
        <is>
          <t>Venue Staff</t>
        </is>
      </c>
      <c r="D18" s="17" t="inlineStr">
        <is>
          <t>Venues: mark the breakout room unavailable for a period that covers the event's times, with a reason.</t>
        </is>
      </c>
      <c r="E18" s="17" t="inlineStr">
        <is>
          <t>The unavailable period shows on the venue's availability calendar.</t>
        </is>
      </c>
      <c r="F18" s="17" t="inlineStr">
        <is>
          <t>SPM-45, 46</t>
        </is>
      </c>
      <c r="G18" s="7" t="n"/>
      <c r="H18" s="7" t="n"/>
    </row>
    <row r="19" ht="63" customHeight="1" s="21">
      <c r="A19" s="17" t="n">
        <v>15</v>
      </c>
      <c r="B19" s="7" t="inlineStr">
        <is>
          <t>Sammi</t>
        </is>
      </c>
      <c r="C19" s="17" t="inlineStr">
        <is>
          <t>Event Coordinator</t>
        </is>
      </c>
      <c r="D19" s="17" t="inlineStr">
        <is>
          <t>Check Notifications, then open Flagged Arrangements.</t>
        </is>
      </c>
      <c r="E19" s="17" t="inlineStr">
        <is>
          <t>The unread count is shown and a notification about the breakout room links to the event. Only the breakout booking is flagged, with the reason; the main room booking is unchanged.</t>
        </is>
      </c>
      <c r="F19" s="17" t="inlineStr">
        <is>
          <t>SPM-45, 68, 71, 81</t>
        </is>
      </c>
      <c r="G19" s="7" t="n"/>
      <c r="H19" s="7" t="n"/>
    </row>
    <row r="20" ht="48" customHeight="1" s="21">
      <c r="A20" s="17" t="n">
        <v>16</v>
      </c>
      <c r="B20" s="7" t="inlineStr">
        <is>
          <t>Sammi</t>
        </is>
      </c>
      <c r="C20" s="17" t="inlineStr">
        <is>
          <t>Event Coordinator</t>
        </is>
      </c>
      <c r="D20" s="17" t="inlineStr">
        <is>
          <t>From the flagged booking, search for a replacement venue, request it, then release the flagged booking with a reason.</t>
        </is>
      </c>
      <c r="E20" s="17" t="inlineStr">
        <is>
          <t>The search is pre-filled from the flagged booking. The old booking shows Released and stays on the event. The event's own information and status do not change.</t>
        </is>
      </c>
      <c r="F20" s="17" t="inlineStr">
        <is>
          <t>SPM-67, 68</t>
        </is>
      </c>
      <c r="G20" s="7" t="n"/>
      <c r="H20" s="7" t="n"/>
    </row>
    <row r="21" ht="33" customHeight="1" s="21">
      <c r="A21" s="17" t="n">
        <v>17</v>
      </c>
      <c r="B21" s="7" t="inlineStr">
        <is>
          <t>Kayalvizhi</t>
        </is>
      </c>
      <c r="C21" s="17" t="inlineStr">
        <is>
          <t>Venue Staff</t>
        </is>
      </c>
      <c r="D21" s="17" t="inlineStr">
        <is>
          <t>Approve the replacement booking request.</t>
        </is>
      </c>
      <c r="E21" s="17" t="inlineStr">
        <is>
          <t>The replacement booking is Approved. The released booking's time is free on its venue's calendar.</t>
        </is>
      </c>
      <c r="F21" s="17" t="inlineStr">
        <is>
          <t>SPM-43, 67</t>
        </is>
      </c>
      <c r="G21" s="7" t="n"/>
      <c r="H21" s="7" t="n"/>
    </row>
    <row r="22" ht="48" customHeight="1" s="21">
      <c r="A22" s="17" t="n">
        <v>18</v>
      </c>
      <c r="B22" s="7" t="inlineStr">
        <is>
          <t>Sammi</t>
        </is>
      </c>
      <c r="C22" s="17" t="inlineStr">
        <is>
          <t>Event Coordinator</t>
        </is>
      </c>
      <c r="D22" s="17" t="inlineStr">
        <is>
          <t>Turn on registration: capacity 2, measured against the main room booking, opening today and closing before the event. Then open Readiness and try to confirm the event.</t>
        </is>
      </c>
      <c r="E22" s="17" t="inlineStr">
        <is>
          <t>Readiness lists each venue booking separately, and the equipment, as done. Confirmation is refused and the Operational Safety Check is named as outstanding.</t>
        </is>
      </c>
      <c r="F22" s="17" t="inlineStr">
        <is>
          <t>SPM-33, 34, 64, 88</t>
        </is>
      </c>
      <c r="G22" s="7" t="n"/>
      <c r="H22" s="7" t="n"/>
    </row>
    <row r="23" ht="18" customHeight="1" s="21">
      <c r="A23" s="17" t="n">
        <v>19</v>
      </c>
      <c r="B23" s="7" t="inlineStr">
        <is>
          <t>Sammi</t>
        </is>
      </c>
      <c r="C23" s="17" t="inlineStr">
        <is>
          <t>Event Coordinator</t>
        </is>
      </c>
      <c r="D23" s="17" t="inlineStr">
        <is>
          <t>Submit the event for a safety check.</t>
        </is>
      </c>
      <c r="E23" s="17" t="inlineStr">
        <is>
          <t>Status is Safety review, and Rachel sees it as well.</t>
        </is>
      </c>
      <c r="F23" s="17" t="inlineStr">
        <is>
          <t>SPM-86</t>
        </is>
      </c>
      <c r="G23" s="7" t="n"/>
      <c r="H23" s="7" t="n"/>
    </row>
    <row r="24" ht="63" customHeight="1" s="21">
      <c r="A24" s="17" t="n">
        <v>20</v>
      </c>
      <c r="B24" s="7" t="inlineStr">
        <is>
          <t>Janelle</t>
        </is>
      </c>
      <c r="C24" s="17" t="inlineStr">
        <is>
          <t>Safety Officer</t>
        </is>
      </c>
      <c r="D24" s="17" t="inlineStr">
        <is>
          <t>Safety Checks: open the event and request changes, describing what is needed.</t>
        </is>
      </c>
      <c r="E24" s="17" t="inlineStr">
        <is>
          <t>The sidebar shows only Dashboard, Safety Checks, All Events and Notifications. The review shows attendance, each venue with capacity and layout, and the equipment. Status returns to Planning.</t>
        </is>
      </c>
      <c r="F24" s="17" t="inlineStr">
        <is>
          <t>SPM-85, 87</t>
        </is>
      </c>
      <c r="G24" s="7" t="n"/>
      <c r="H24" s="7" t="n"/>
    </row>
    <row r="25" ht="48" customHeight="1" s="21">
      <c r="A25" s="17" t="n">
        <v>21</v>
      </c>
      <c r="B25" s="7" t="inlineStr">
        <is>
          <t>Sammi, then Kristen</t>
        </is>
      </c>
      <c r="C25" s="17" t="inlineStr">
        <is>
          <t>Event Coordinator, then Event Organiser</t>
        </is>
      </c>
      <c r="D25" s="17" t="inlineStr">
        <is>
          <t>Coordinator: read the decision on the event, then submit it for a safety check again. Organiser: open the event.</t>
        </is>
      </c>
      <c r="E25" s="17" t="inlineStr">
        <is>
          <t>The coordinator sees the changes required. The organiser does not see the Safety Officer's reason. Status is Safety review again.</t>
        </is>
      </c>
      <c r="F25" s="17" t="inlineStr">
        <is>
          <t>SPM-53, 86, 88</t>
        </is>
      </c>
      <c r="G25" s="7" t="n"/>
      <c r="H25" s="7" t="n"/>
    </row>
    <row r="26" ht="33" customHeight="1" s="21">
      <c r="A26" s="17" t="n">
        <v>22</v>
      </c>
      <c r="B26" s="7" t="inlineStr">
        <is>
          <t>Janelle, then Sammi</t>
        </is>
      </c>
      <c r="C26" s="17" t="inlineStr">
        <is>
          <t>Safety Officer, then Event Coordinator</t>
        </is>
      </c>
      <c r="D26" s="17" t="inlineStr">
        <is>
          <t>Safety Officer: approve the event. Coordinator: confirm the event.</t>
        </is>
      </c>
      <c r="E26" s="17" t="inlineStr">
        <is>
          <t>Status is Safety approved, then Confirmed.</t>
        </is>
      </c>
      <c r="F26" s="17" t="inlineStr">
        <is>
          <t>SPM-34, 87, 88</t>
        </is>
      </c>
      <c r="G26" s="7" t="n"/>
      <c r="H26" s="7" t="n"/>
    </row>
    <row r="27" ht="33" customHeight="1" s="21">
      <c r="A27" s="17" t="n">
        <v>23</v>
      </c>
      <c r="B27" s="7" t="inlineStr">
        <is>
          <t>Janelle</t>
        </is>
      </c>
      <c r="C27" s="17" t="inlineStr">
        <is>
          <t>Attendee
lee.wei.ming@example.com</t>
        </is>
      </c>
      <c r="D27" s="17" t="inlineStr">
        <is>
          <t>Browse Events: find the event and register. Open My Registrations.</t>
        </is>
      </c>
      <c r="E27" s="17" t="inlineStr">
        <is>
          <t>The registration shows Registered.</t>
        </is>
      </c>
      <c r="F27" s="17" t="inlineStr">
        <is>
          <t>SPM-51</t>
        </is>
      </c>
      <c r="G27" s="7" t="n"/>
      <c r="H27" s="7" t="n"/>
    </row>
    <row r="28" ht="48" customHeight="1" s="21">
      <c r="A28" s="17" t="n">
        <v>24</v>
      </c>
      <c r="B28" s="7" t="inlineStr">
        <is>
          <t>Sammi</t>
        </is>
      </c>
      <c r="C28" s="17" t="inlineStr">
        <is>
          <t>Event Coordinator</t>
        </is>
      </c>
      <c r="D28" s="17" t="inlineStr">
        <is>
          <t>Attendees tab: click 'Add attendee', enter zara.ong@example.com and click 'Add attendee' in the form.</t>
        </is>
      </c>
      <c r="E28" s="17" t="inlineStr">
        <is>
          <t>'Zara Ong has been added to the registration list.' appears, with 'Added by' the coordinator. The line reads 2 of 2 places taken.</t>
        </is>
      </c>
      <c r="F28" s="17" t="inlineStr">
        <is>
          <t>SPM-57</t>
        </is>
      </c>
      <c r="G28" s="7" t="n"/>
      <c r="H28" s="7" t="n"/>
    </row>
    <row r="29" ht="33" customHeight="1" s="21">
      <c r="A29" s="17" t="n">
        <v>25</v>
      </c>
      <c r="B29" s="7" t="inlineStr">
        <is>
          <t>Janelle</t>
        </is>
      </c>
      <c r="C29" s="17" t="inlineStr">
        <is>
          <t>Attendee
siew.ling.goh@example.com</t>
        </is>
      </c>
      <c r="D29" s="17" t="inlineStr">
        <is>
          <t>Browse Events: open the event and click 'Join waiting list'.</t>
        </is>
      </c>
      <c r="E29" s="17" t="inlineStr">
        <is>
          <t>There is no 'Register' button. The card reads 'You're number 1 on the waiting list.'</t>
        </is>
      </c>
      <c r="F29" s="17" t="inlineStr">
        <is>
          <t>SPM-66</t>
        </is>
      </c>
      <c r="G29" s="7" t="n"/>
      <c r="H29" s="7" t="n"/>
    </row>
    <row r="30" ht="48" customHeight="1" s="21">
      <c r="A30" s="17" t="n">
        <v>26</v>
      </c>
      <c r="B30" s="7" t="inlineStr">
        <is>
          <t>Janelle</t>
        </is>
      </c>
      <c r="C30" s="17" t="inlineStr">
        <is>
          <t>Attendee (Lee Wei Ming), then Attendee (Siew Ling Goh)</t>
        </is>
      </c>
      <c r="D30" s="17" t="inlineStr">
        <is>
          <t>Lee: withdraw the registration. Siew: open Notifications, then My Registrations, open the event and click 'Accept place'.</t>
        </is>
      </c>
      <c r="E30" s="17" t="inlineStr">
        <is>
          <t>Lee's registration shows Withdrawn. Siew has an 'A place is available' notification, and after accepting reads 'You're registered for this event.'</t>
        </is>
      </c>
      <c r="F30" s="17" t="inlineStr">
        <is>
          <t>SPM-52, 53, 66</t>
        </is>
      </c>
      <c r="G30" s="7" t="n"/>
      <c r="H30" s="7" t="n"/>
    </row>
    <row r="31" ht="48" customHeight="1" s="21">
      <c r="A31" s="17" t="n">
        <v>27</v>
      </c>
      <c r="B31" s="7" t="inlineStr">
        <is>
          <t>Kristen and Sammi</t>
        </is>
      </c>
      <c r="C31" s="17" t="inlineStr">
        <is>
          <t>Event Organiser and Event Coordinator</t>
        </is>
      </c>
      <c r="D31" s="17" t="inlineStr">
        <is>
          <t>Each opens the event's Attendees tab.</t>
        </is>
      </c>
      <c r="E31" s="17" t="inlineStr">
        <is>
          <t>Lee Wei Ming is listed as Withdrawn, Zara Ong and Siew Ling Goh as Registered, 2 of 2 places taken. Venue Staff and Technical Support have no Attendees tab.</t>
        </is>
      </c>
      <c r="F31" s="17" t="inlineStr">
        <is>
          <t>SPM-65</t>
        </is>
      </c>
      <c r="G31" s="7" t="n"/>
      <c r="H31" s="7" t="n"/>
    </row>
    <row r="32" ht="48" customHeight="1" s="21">
      <c r="A32" s="17" t="n">
        <v>28</v>
      </c>
      <c r="B32" s="7" t="inlineStr">
        <is>
          <t>Kristen</t>
        </is>
      </c>
      <c r="C32" s="17" t="inlineStr">
        <is>
          <t>Event Organiser</t>
        </is>
      </c>
      <c r="D32" s="17" t="inlineStr">
        <is>
          <t>On the event, click 'Request a change', change the description, enter a reason and click 'Send change request'.</t>
        </is>
      </c>
      <c r="E32" s="17" t="inlineStr">
        <is>
          <t>'Change request sent to your coordinator.' appears. The event's details do not change. The 'Change requests' card lists it as Pending.</t>
        </is>
      </c>
      <c r="F32" s="17" t="inlineStr">
        <is>
          <t>SPM-35</t>
        </is>
      </c>
      <c r="G32" s="7" t="n"/>
      <c r="H32" s="7" t="n"/>
    </row>
    <row r="33" ht="48" customHeight="1" s="21">
      <c r="A33" s="17" t="n">
        <v>29</v>
      </c>
      <c r="B33" s="7" t="inlineStr">
        <is>
          <t>Sammi</t>
        </is>
      </c>
      <c r="C33" s="17" t="inlineStr">
        <is>
          <t>Event Coordinator</t>
        </is>
      </c>
      <c r="D33" s="17" t="inlineStr">
        <is>
          <t>Change Requests: click 'Review' on the request, 'Approve all', then 'Save decision'.</t>
        </is>
      </c>
      <c r="E33" s="17" t="inlineStr">
        <is>
          <t>'Change request processed.' appears, the new description shows on the event and the status stays Confirmed. Rachel has a notification of the outcome.</t>
        </is>
      </c>
      <c r="F33" s="17" t="inlineStr">
        <is>
          <t>SPM-32, 53</t>
        </is>
      </c>
      <c r="G33" s="7" t="n"/>
      <c r="H33" s="7" t="n"/>
    </row>
    <row r="34" ht="33" customHeight="1" s="21">
      <c r="A34" s="17" t="n">
        <v>30</v>
      </c>
      <c r="B34" s="7" t="inlineStr">
        <is>
          <t>Kayalvizhi</t>
        </is>
      </c>
      <c r="C34" s="17" t="inlineStr">
        <is>
          <t>Technical Support Staff</t>
        </is>
      </c>
      <c r="D34" s="17" t="inlineStr">
        <is>
          <t>Open the event's request. On one reserved line click 'Release', enter a reason and confirm.</t>
        </is>
      </c>
      <c r="E34" s="17" t="inlineStr">
        <is>
          <t>The line shows Released and its units are free again.</t>
        </is>
      </c>
      <c r="F34" s="17" t="inlineStr">
        <is>
          <t>SPM-69</t>
        </is>
      </c>
      <c r="G34" s="7" t="n"/>
      <c r="H34" s="7" t="n"/>
    </row>
    <row r="35" ht="63" customHeight="1" s="21">
      <c r="A35" s="17" t="n">
        <v>31</v>
      </c>
      <c r="B35" s="7" t="inlineStr">
        <is>
          <t>Sammi</t>
        </is>
      </c>
      <c r="C35" s="17" t="inlineStr">
        <is>
          <t>Event Coordinator</t>
        </is>
      </c>
      <c r="D35" s="17" t="inlineStr">
        <is>
          <t>Notifications: open 'Equipment reservation released'. Then on the event click 'Postpone event', enter a reason and confirm in the dialog.</t>
        </is>
      </c>
      <c r="E35" s="17" t="inlineStr">
        <is>
          <t>The notification opens the Equipment tab, which still lists the line as Released. The dialog lists each booking and equipment line to be released. Status is Postponed.</t>
        </is>
      </c>
      <c r="F35" s="17" t="inlineStr">
        <is>
          <t>SPM-38, 53, 69</t>
        </is>
      </c>
      <c r="G35" s="7" t="n"/>
      <c r="H35" s="7" t="n"/>
    </row>
    <row r="36" ht="33" customHeight="1" s="21">
      <c r="A36" s="17" t="n">
        <v>32</v>
      </c>
      <c r="B36" s="7" t="inlineStr">
        <is>
          <t>Janelle</t>
        </is>
      </c>
      <c r="C36" s="17" t="inlineStr">
        <is>
          <t>Attendee (Zara Ong)</t>
        </is>
      </c>
      <c r="D36" s="17" t="inlineStr">
        <is>
          <t>My Registrations: open the event.</t>
        </is>
      </c>
      <c r="E36" s="17" t="inlineStr">
        <is>
          <t>Zara can still open the postponed event and still holds a place.</t>
        </is>
      </c>
      <c r="F36" s="17" t="inlineStr">
        <is>
          <t>SPM-38</t>
        </is>
      </c>
      <c r="G36" s="7" t="n"/>
      <c r="H36" s="7" t="n"/>
    </row>
    <row r="37" ht="48" customHeight="1" s="21">
      <c r="A37" s="17" t="n">
        <v>33</v>
      </c>
      <c r="B37" s="7" t="inlineStr">
        <is>
          <t>Kristen</t>
        </is>
      </c>
      <c r="C37" s="17" t="inlineStr">
        <is>
          <t>Event Organiser</t>
        </is>
      </c>
      <c r="D37" s="17" t="inlineStr">
        <is>
          <t>On the event, click 'Request a change', keep 'Change the event's details', set new start and end times one week later, enter a reason and click 'Send change request'.</t>
        </is>
      </c>
      <c r="E37" s="17" t="inlineStr">
        <is>
          <t>The event stays Postponed with its old date until the coordinator acts. The request shows Pending.</t>
        </is>
      </c>
      <c r="F37" s="17" t="inlineStr">
        <is>
          <t>SPM-35, 38</t>
        </is>
      </c>
      <c r="G37" s="7" t="n"/>
      <c r="H37" s="7" t="n"/>
    </row>
    <row r="38" ht="48" customHeight="1" s="21">
      <c r="A38" s="17" t="n">
        <v>34</v>
      </c>
      <c r="B38" s="7" t="inlineStr">
        <is>
          <t>Sammi</t>
        </is>
      </c>
      <c r="C38" s="17" t="inlineStr">
        <is>
          <t>Event Coordinator</t>
        </is>
      </c>
      <c r="D38" s="17" t="inlineStr">
        <is>
          <t>Change Requests: click 'Review' on the request, 'Approve all', then 'Save decision'.</t>
        </is>
      </c>
      <c r="E38" s="17" t="inlineStr">
        <is>
          <t>A blue alert says approving moves the event to Approved. Status is Approved, with the new date. Under Readiness, the safety check reads Not submitted.</t>
        </is>
      </c>
      <c r="F38" s="17" t="inlineStr">
        <is>
          <t>SPM-32, 38</t>
        </is>
      </c>
      <c r="G38" s="7" t="n"/>
      <c r="H38" s="7" t="n"/>
    </row>
    <row r="39" ht="48" customHeight="1" s="21">
      <c r="A39" s="17" t="n">
        <v>35</v>
      </c>
      <c r="B39" s="7" t="inlineStr">
        <is>
          <t>Sammi</t>
        </is>
      </c>
      <c r="C39" s="17" t="inlineStr">
        <is>
          <t>Event Coordinator</t>
        </is>
      </c>
      <c r="D39" s="17" t="inlineStr">
        <is>
          <t>On the event, click 'Cancel event', enter a reason and confirm in the dialog.</t>
        </is>
      </c>
      <c r="E39" s="17" t="inlineStr">
        <is>
          <t>'The event has been cancelled. Its venue bookings and equipment have been released.' appears. Status is Cancelled and this cannot be undone.</t>
        </is>
      </c>
      <c r="F39" s="17" t="inlineStr">
        <is>
          <t>SPM-37</t>
        </is>
      </c>
      <c r="G39" s="7" t="n"/>
      <c r="H39" s="7" t="n"/>
    </row>
    <row r="40" ht="48" customHeight="1" s="21">
      <c r="A40" s="17" t="n">
        <v>36</v>
      </c>
      <c r="B40" s="7" t="inlineStr">
        <is>
          <t>Kristen, then Sammi</t>
        </is>
      </c>
      <c r="C40" s="17" t="inlineStr">
        <is>
          <t>Event Organiser, then Event Coordinator</t>
        </is>
      </c>
      <c r="D40" s="17" t="inlineStr">
        <is>
          <t>Second event. Organiser: create and submit 'REG S4 Smoke Withdrawn'. Lead (Kristen): assign Daniel Tan. Coordinator: open it from All Events, click 'Record withdrawal' and confirm.</t>
        </is>
      </c>
      <c r="E40" s="17" t="inlineStr">
        <is>
          <t>'The withdrawal has been recorded.' appears. Status is Withdrawn, and the event has left the Review Queue.</t>
        </is>
      </c>
      <c r="F40" s="17" t="inlineStr">
        <is>
          <t>SPM-59</t>
        </is>
      </c>
      <c r="G40" s="7" t="n"/>
      <c r="H40" s="7" t="n"/>
    </row>
    <row r="41" ht="63" customHeight="1" s="21">
      <c r="A41" s="17" t="n">
        <v>37</v>
      </c>
      <c r="B41" s="7" t="inlineStr">
        <is>
          <t>Everyone</t>
        </is>
      </c>
      <c r="C41" s="17" t="inlineStr">
        <is>
          <t>Every role</t>
        </is>
      </c>
      <c r="D41" s="17" t="inlineStr">
        <is>
          <t>Log in as each role in turn.</t>
        </is>
      </c>
      <c r="E41" s="17" t="inlineStr">
        <is>
          <t>Each role sees only its own sidebar links (organiser "My Events"; coordinator, Lead and Safety Officer "All Events"; only the coordinator has "Change Requests"), and the organiser sees only their own events.</t>
        </is>
      </c>
      <c r="F41" s="17" t="inlineStr">
        <is>
          <t>SPM-21, 22, 84</t>
        </is>
      </c>
      <c r="G41" s="7" t="n"/>
      <c r="H41" s="7" t="n"/>
    </row>
  </sheetData>
  <conditionalFormatting sqref="G5:G41">
    <cfRule type="cellIs" priority="1" operator="equal" dxfId="0">
      <formula>"Pass"</formula>
    </cfRule>
    <cfRule type="cellIs" priority="2" operator="equal" dxfId="1">
      <formula>"Fail"</formula>
    </cfRule>
  </conditionalFormatting>
  <dataValidations count="2">
    <dataValidation sqref="B5:B41" showDropDown="0" showInputMessage="0" showErrorMessage="0" allowBlank="1" type="list">
      <formula1>"Kayalvizhi,Jordan,Janelle,Sammi,Kristen,Everyone"</formula1>
    </dataValidation>
    <dataValidation sqref="G5:G41" showDropDown="0" showInputMessage="0" showErrorMessage="0" allowBlank="1" type="list">
      <formula1>"Pass,Fail"</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L60"/>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5" customWidth="1" style="21" min="1" max="1"/>
    <col width="15" customWidth="1" style="21" min="2" max="2"/>
    <col width="34" customWidth="1" style="21" min="3" max="3"/>
    <col width="10" customWidth="1" style="21" min="4" max="5"/>
    <col width="13" customWidth="1" style="21" min="5" max="5"/>
    <col width="46" customWidth="1" style="21" min="6" max="6"/>
    <col width="30" customWidth="1" style="21" min="7" max="7"/>
    <col width="58" customWidth="1" style="21" min="8" max="8"/>
    <col width="72" customWidth="1" style="21" min="9" max="9"/>
    <col width="18" customWidth="1" style="21" min="10" max="10"/>
    <col width="12" customWidth="1" style="21" min="11" max="11"/>
    <col width="34" customWidth="1" style="21" min="12" max="12"/>
    <col width="8.710000000000001" customWidth="1" style="21" min="13" max="26"/>
  </cols>
  <sheetData>
    <row r="1">
      <c r="A1" s="1" t="inlineStr">
        <is>
          <t>Kayalvizhi's cases: Accounts, event requests, event information and equipment release</t>
        </is>
      </c>
    </row>
    <row r="2">
      <c r="A2" s="2" t="inlineStr">
        <is>
          <t>Run top to bottom. A blue row starts each story: run its fixture script first (never npx prisma db seed). READ FIRST at the top of Preconditions says what has changed since the case was written. IDs ending in -R were rewritten in the Sprint 3 run and are reused here. Fill in the yellow Result, Date tested and Notes cells.</t>
        </is>
      </c>
    </row>
    <row r="4">
      <c r="A4" s="3" t="inlineStr">
        <is>
          <t>#</t>
        </is>
      </c>
      <c r="B4" s="3" t="inlineStr">
        <is>
          <t>Test case ID</t>
        </is>
      </c>
      <c r="C4" s="3" t="inlineStr">
        <is>
          <t>Title</t>
        </is>
      </c>
      <c r="D4" s="3" t="inlineStr">
        <is>
          <t>Linked AC</t>
        </is>
      </c>
      <c r="E4" s="3" t="inlineStr">
        <is>
          <t>Type</t>
        </is>
      </c>
      <c r="F4" s="3" t="inlineStr">
        <is>
          <t>Preconditions</t>
        </is>
      </c>
      <c r="G4" s="3" t="inlineStr">
        <is>
          <t>Test data</t>
        </is>
      </c>
      <c r="H4" s="3" t="inlineStr">
        <is>
          <t>Steps</t>
        </is>
      </c>
      <c r="I4" s="3" t="inlineStr">
        <is>
          <t>Expected results</t>
        </is>
      </c>
      <c r="J4" s="3" t="inlineStr">
        <is>
          <t>Result</t>
        </is>
      </c>
      <c r="K4" s="3" t="inlineStr">
        <is>
          <t>Date tested</t>
        </is>
      </c>
      <c r="L4" s="3" t="inlineStr">
        <is>
          <t>Notes / bug key</t>
        </is>
      </c>
    </row>
    <row r="5" ht="20" customHeight="1" s="21">
      <c r="A5" s="6" t="inlineStr">
        <is>
          <t>SPM-21  User Login  -  no fixture script: uses the base seed data</t>
        </is>
      </c>
      <c r="B5" s="16" t="n"/>
      <c r="C5" s="16" t="n"/>
      <c r="D5" s="16" t="n"/>
      <c r="E5" s="16" t="n"/>
      <c r="F5" s="16" t="n"/>
      <c r="G5" s="16" t="n"/>
      <c r="H5" s="16" t="n"/>
      <c r="I5" s="16" t="n"/>
      <c r="J5" s="16" t="n"/>
      <c r="K5" s="16" t="n"/>
      <c r="L5" s="16" t="n"/>
    </row>
    <row r="6" ht="78" customHeight="1" s="21">
      <c r="A6" s="17" t="n">
        <v>1</v>
      </c>
      <c r="B6" s="17" t="inlineStr">
        <is>
          <t>SPM-21-TC01</t>
        </is>
      </c>
      <c r="C6" s="17" t="inlineStr">
        <is>
          <t>Valid credentials sign the user in and open the dashboard</t>
        </is>
      </c>
      <c r="D6" s="17" t="inlineStr">
        <is>
          <t>AC1</t>
        </is>
      </c>
      <c r="E6" s="17" t="inlineStr">
        <is>
          <t>Positive</t>
        </is>
      </c>
      <c r="F6" s="17" t="inlineStr">
        <is>
          <t>Demo data is seeded. No one is signed in. On the "Log in" page.</t>
        </is>
      </c>
      <c r="G6" s="17" t="inlineStr">
        <is>
          <t>Email: daniel.tan@connectsphere.com; Password: password123</t>
        </is>
      </c>
      <c r="H6" s="17" t="inlineStr">
        <is>
          <t>1. Enter "daniel.tan@connectsphere.com" into Email
2. Enter "password123" into Password
3. Click "Log in"</t>
        </is>
      </c>
      <c r="I6" s="17" t="inlineStr">
        <is>
          <t>The button shows "Logging in…" while the request is in flight.
The browser moves to the Dashboard, headed "Welcome, Daniel Tan" with "Event Coordinator" beneath it, and the top bar shows the same role under the name.
No error message is shown.</t>
        </is>
      </c>
      <c r="J6" s="7" t="n"/>
      <c r="K6" s="13" t="n"/>
      <c r="L6" s="7" t="n"/>
    </row>
    <row r="7" ht="78" customHeight="1" s="21">
      <c r="A7" s="17" t="n">
        <v>2</v>
      </c>
      <c r="B7" s="17" t="inlineStr">
        <is>
          <t>SPM-21-TC12</t>
        </is>
      </c>
      <c r="C7" s="17" t="inlineStr">
        <is>
          <t>The signed-in user's role is named on the dashboard</t>
        </is>
      </c>
      <c r="D7" s="17" t="inlineStr">
        <is>
          <t>AC3</t>
        </is>
      </c>
      <c r="E7" s="17" t="inlineStr">
        <is>
          <t>Positive</t>
        </is>
      </c>
      <c r="F7" s="17" t="inlineStr">
        <is>
          <t>Demo data is seeded. No one is signed in.</t>
        </is>
      </c>
      <c r="G7" s="17" t="inlineStr">
        <is>
          <t>Accounts: daniel.tan@connectsphere.com (Coordinator), marcus.wong@connectsphere.com (Venue Staff); Password: password123</t>
        </is>
      </c>
      <c r="H7" s="17" t="inlineStr">
        <is>
          <t>1. Log in as daniel.tan@connectsphere.com with password123
2. Read the subtitle under the welcome heading
3. Log out, then log in as marcus.wong@connectsphere.com with password123
4. Read the subtitle under the welcome heading again</t>
        </is>
      </c>
      <c r="I7" s="17" t="inlineStr">
        <is>
          <t>Daniel Tan's dashboard is headed "Welcome, Daniel Tan", subtitled "Event Coordinator" and the section heading reads "Awaiting your review".
Marcus Wong's dashboard is headed "Welcome, Marcus Wong", subtitled "Venue Staff" and the section heading reads "Upcoming events".</t>
        </is>
      </c>
      <c r="J7" s="7" t="n"/>
      <c r="K7" s="13" t="n"/>
      <c r="L7" s="7" t="n"/>
    </row>
    <row r="8" ht="20" customHeight="1" s="21">
      <c r="A8" s="6" t="inlineStr">
        <is>
          <t>SPM-22  Role-Based Access – UI Verification  -  no fixture script: uses the base seed data</t>
        </is>
      </c>
      <c r="B8" s="16" t="n"/>
      <c r="C8" s="16" t="n"/>
      <c r="D8" s="16" t="n"/>
      <c r="E8" s="16" t="n"/>
      <c r="F8" s="16" t="n"/>
      <c r="G8" s="16" t="n"/>
      <c r="H8" s="16" t="n"/>
      <c r="I8" s="16" t="n"/>
      <c r="J8" s="16" t="n"/>
      <c r="K8" s="16" t="n"/>
      <c r="L8" s="16" t="n"/>
    </row>
    <row r="9" ht="63" customHeight="1" s="21">
      <c r="A9" s="17" t="n">
        <v>3</v>
      </c>
      <c r="B9" s="17" t="inlineStr">
        <is>
          <t>SPM-22-TC01</t>
        </is>
      </c>
      <c r="C9" s="17" t="inlineStr">
        <is>
          <t>An Attendee's sidebar offers only the Attendee screens</t>
        </is>
      </c>
      <c r="D9" s="17" t="inlineStr">
        <is>
          <t>AC1</t>
        </is>
      </c>
      <c r="E9" s="17" t="inlineStr">
        <is>
          <t>Positive</t>
        </is>
      </c>
      <c r="F9" s="17" t="inlineStr">
        <is>
          <t>Demo data is seeded. Logged in as Daniel Lim (daniel.lim@example.com / password123), an Attendee.</t>
        </is>
      </c>
      <c r="G9" s="17" t="inlineStr">
        <is>
          <t>Account: daniel.lim@example.com (Attendee)</t>
        </is>
      </c>
      <c r="H9" s="17" t="inlineStr">
        <is>
          <t>1. Read every item in the left sidebar from top to bottom</t>
        </is>
      </c>
      <c r="I9" s="17" t="inlineStr">
        <is>
          <t>The sidebar reads exactly: Dashboard, Browse Events, My Registrations, Notifications.
Review Queue, Venues, Equipment, Booking Requests and Assignments do not appear anywhere in the sidebar.</t>
        </is>
      </c>
      <c r="J9" s="7" t="n"/>
      <c r="K9" s="13" t="n"/>
      <c r="L9" s="7" t="n"/>
    </row>
    <row r="10" ht="48" customHeight="1" s="21">
      <c r="A10" s="17" t="n">
        <v>4</v>
      </c>
      <c r="B10" s="17" t="inlineStr">
        <is>
          <t>SPM-22-TC04</t>
        </is>
      </c>
      <c r="C10" s="17" t="inlineStr">
        <is>
          <t>An Attendee opening an event sees only the Overview tab</t>
        </is>
      </c>
      <c r="D10" s="17" t="inlineStr">
        <is>
          <t>AC2</t>
        </is>
      </c>
      <c r="E10" s="17" t="inlineStr">
        <is>
          <t>Positive</t>
        </is>
      </c>
      <c r="F10" s="17" t="inlineStr">
        <is>
          <t>Logged in as Daniel Lim (daniel.lim@example.com / password123), an Attendee. At least one confirmed event that is open for registration exists.</t>
        </is>
      </c>
      <c r="G10" s="17" t="inlineStr">
        <is>
          <t>Account: daniel.lim@example.com (Attendee)</t>
        </is>
      </c>
      <c r="H10" s="17" t="inlineStr">
        <is>
          <t>1. Open the events list from the sidebar
2. Open the first event in the list
3. Read the row of tabs beneath the event title</t>
        </is>
      </c>
      <c r="I10" s="17" t="inlineStr">
        <is>
          <t>Only an Overview tab is shown.
No Equipment, Venue, Discussion, Attendees, Readiness or History tab appears — not even greyed out.</t>
        </is>
      </c>
      <c r="J10" s="7" t="n"/>
      <c r="K10" s="13" t="n"/>
      <c r="L10" s="7" t="n"/>
    </row>
    <row r="11" ht="108" customHeight="1" s="21">
      <c r="A11" s="17" t="n">
        <v>5</v>
      </c>
      <c r="B11" s="17" t="inlineStr">
        <is>
          <t>SPM-22-TC17</t>
        </is>
      </c>
      <c r="C11" s="17" t="inlineStr">
        <is>
          <t>Internal planning fields are absent from an Attendee's view of an event</t>
        </is>
      </c>
      <c r="D11" s="17" t="inlineStr">
        <is>
          <t>AC5</t>
        </is>
      </c>
      <c r="E11" s="17" t="inlineStr">
        <is>
          <t>Positive</t>
        </is>
      </c>
      <c r="F11" s="17" t="inlineStr">
        <is>
          <t>Logged in as Daniel Lim (daniel.lim@example.com / password123), an Attendee. A confirmed event that is open for registration exists and has a coordinator assigned, an expected attendance and special requirements recorded.</t>
        </is>
      </c>
      <c r="G11" s="17" t="inlineStr">
        <is>
          <t>Account: daniel.lim@example.com (Attendee)</t>
        </is>
      </c>
      <c r="H11" s="17" t="inlineStr">
        <is>
          <t>1. Open the events list from the sidebar
2. Open the first event in the list
3. Read every label and value shown on the page from top to bottom</t>
        </is>
      </c>
      <c r="I11" s="17" t="inlineStr">
        <is>
          <t>The page shows the event's title, description, category, dates and status, and what is needed to register.
There is no Coordinator row, no Organiser row, no Expected attendance row, no Special requirements row, no Rejection reason row and no venue or equipment arrangements.
Those labels are absent entirely — the page does not show them with an empty value or a dash.</t>
        </is>
      </c>
      <c r="J11" s="7" t="n"/>
      <c r="K11" s="13" t="n"/>
      <c r="L11" s="7" t="n"/>
    </row>
    <row r="12" ht="183" customHeight="1" s="21">
      <c r="A12" s="17" t="n">
        <v>6</v>
      </c>
      <c r="B12" s="17" t="inlineStr">
        <is>
          <t>SPM-22-TC19</t>
        </is>
      </c>
      <c r="C12" s="17" t="inlineStr">
        <is>
          <t>The Operations Manager's navigation matches their permissions</t>
        </is>
      </c>
      <c r="D12" s="17" t="inlineStr">
        <is>
          <t>AC6</t>
        </is>
      </c>
      <c r="E12" s="17" t="inlineStr">
        <is>
          <t>Positive</t>
        </is>
      </c>
      <c r="F12" s="17" t="inlineStr">
        <is>
          <t>READ FIRST: 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
Logged in as Grace Lim (grace.lim@connectsphere.com / password123), an Operations Manager.</t>
        </is>
      </c>
      <c r="G12" s="17" t="inlineStr">
        <is>
          <t>Account: grace.lim@connectsphere.com (Operations Manager)</t>
        </is>
      </c>
      <c r="H12" s="17" t="inlineStr">
        <is>
          <t>1. Read every item in the left sidebar from top to bottom
2. Read the role shown beneath the name in the top bar</t>
        </is>
      </c>
      <c r="I12" s="17" t="inlineStr">
        <is>
          <t>The sidebar reads exactly: Dashboard, Assignments, All Events, Notifications.
The top bar shows Grace Lim with 'Operations Manager' beneath the name.
Review Queue, Venues, Equipment and Booking Requests do not appear, because assigning coordinators and overseeing events is what this role does.</t>
        </is>
      </c>
      <c r="J12" s="7" t="n"/>
      <c r="K12" s="13" t="n"/>
      <c r="L12" s="7" t="n"/>
    </row>
    <row r="13" ht="20" customHeight="1" s="21">
      <c r="A13" s="6" t="inlineStr">
        <is>
          <t>SPM-84  Event Coordinator Lead: Rename Role and View Assignments  -  run npm run fixtures:spm84 before its first case</t>
        </is>
      </c>
      <c r="B13" s="16" t="n"/>
      <c r="C13" s="16" t="n"/>
      <c r="D13" s="16" t="n"/>
      <c r="E13" s="16" t="n"/>
      <c r="F13" s="16" t="n"/>
      <c r="G13" s="16" t="n"/>
      <c r="H13" s="16" t="n"/>
      <c r="I13" s="16" t="n"/>
      <c r="J13" s="16" t="n"/>
      <c r="K13" s="16" t="n"/>
      <c r="L13" s="16" t="n"/>
    </row>
    <row r="14" ht="138" customHeight="1" s="21">
      <c r="A14" s="17" t="n">
        <v>7</v>
      </c>
      <c r="B14" s="17" t="inlineStr">
        <is>
          <t>SPM-84-TC01</t>
        </is>
      </c>
      <c r="C14" s="17" t="inlineStr">
        <is>
          <t>The Event Operations Manager is shown as the Event Coordinator Lead, with the same account, sidebar and Assignments screen as before</t>
        </is>
      </c>
      <c r="D14" s="17" t="inlineStr">
        <is>
          <t>AC1</t>
        </is>
      </c>
      <c r="E14" s="17" t="inlineStr">
        <is>
          <t>Positive</t>
        </is>
      </c>
      <c r="F14" s="17" t="inlineStr">
        <is>
          <t>npm run fixtures:spm84 has been run.
Grace Lim's account (grace.lim@connectsphere.com) is the role previously called Event Operations Manager.
Logged out.</t>
        </is>
      </c>
      <c r="G14" s="17" t="inlineStr">
        <is>
          <t>Account: grace.lim@connectsphere.com / password123 (unchanged)</t>
        </is>
      </c>
      <c r="H14" s="17" t="inlineStr">
        <is>
          <t>1. Log in as grace.lim@connectsphere.com / password123
2. Click 'Assignments' in the sidebar
3. Click 'All Events' in the sidebar</t>
        </is>
      </c>
      <c r="I14" s="17" t="inlineStr">
        <is>
          <t>Step 1: Login succeeds with the existing password. The top bar shows 'Grace Lim' and the role 'Event Coordinator Lead' - not 'Operations Manager'. The sidebar shows Dashboard, Assignments, All Events, Venues and Notifications, as before.
Step 2: The 'Assignments' page opens with three tabs: 'Awaiting assignment', 'Active events' and 'Coordinators'. 'Operations Manager' does not appear anywhere on the page.
Step 3: The All Events list opens as before, with no 'Operations Manager' wording.</t>
        </is>
      </c>
      <c r="J14" s="7" t="n"/>
      <c r="K14" s="13" t="n"/>
      <c r="L14" s="7" t="n"/>
    </row>
    <row r="15" ht="228" customHeight="1" s="21">
      <c r="A15" s="17" t="n">
        <v>8</v>
      </c>
      <c r="B15" s="17" t="inlineStr">
        <is>
          <t>SPM-84-TC02</t>
        </is>
      </c>
      <c r="C15" s="17" t="inlineStr">
        <is>
          <t>The Coordinators tab lists every Event Coordinator with their number of active events, including one with none and a deactivated one who still holds an event</t>
        </is>
      </c>
      <c r="D15" s="17" t="inlineStr">
        <is>
          <t>AC4, AC10, AC6</t>
        </is>
      </c>
      <c r="E15" s="17" t="inlineStr">
        <is>
          <t>Positive</t>
        </is>
      </c>
      <c r="F15" s="17" t="inlineStr">
        <is>
          <t>npm run fixtures:spm84 has been run. It creates four coordinator accounts of SPM-84's own:
- Aisha Karim: SPM84 Harbour Gala (Planning), SPM84 Orchard Forum (Under review), SPM84 Postponed Retreat (Postponed) - active; SPM84 Closed Showcase (Completed), SPM84 Called Off Expo (Cancelled), SPM84 Rejected Request (Rejected), SPM84 Withdrawn Request (Withdrawn) - not active
- Benjamin Lau: SPM84 Riverside Launch (Confirmed)
- Clara Tay: SPM84 Past Seminar (Completed) only
- Dennis Ho: account deactivated, still assigned SPM84 Inherited Workshop (Planning)
Logged in as the Event Coordinator Lead, Grace Lim (grace.lim@connectsphere.com / password123).</t>
        </is>
      </c>
      <c r="G15" s="17" t="inlineStr">
        <is>
          <t>Coordinators: Aisha Karim (3 active), Benjamin Lau (1), Clara Tay (0), Dennis Ho (1, account inactive)</t>
        </is>
      </c>
      <c r="H15" s="17" t="inlineStr">
        <is>
          <t>1. Click 'Assignments' in the sidebar
2. Click the 'Coordinators' tab</t>
        </is>
      </c>
      <c r="I15" s="17" t="inlineStr">
        <is>
          <t>Step 2: A table lists every Event Coordinator by name, A to Z, with an 'Active events' column. Aisha Karim shows 3 (her Completed, Cancelled, Rejected and Withdrawn events are not counted). Benjamin Lau shows 1. Clara Tay is listed with 0. Dennis Ho shows 1 and is labelled 'Account inactive'. The base coordinators (e.g. Daniel Tan, Priya Raj) are listed too.</t>
        </is>
      </c>
      <c r="J15" s="7" t="n"/>
      <c r="K15" s="13" t="n"/>
      <c r="L15" s="7" t="n"/>
    </row>
    <row r="16" ht="168" customHeight="1" s="21">
      <c r="A16" s="17" t="n">
        <v>9</v>
      </c>
      <c r="B16" s="17" t="inlineStr">
        <is>
          <t>SPM-84-TC03</t>
        </is>
      </c>
      <c r="C16" s="17" t="inlineStr">
        <is>
          <t>The Active events tab, filtered to one coordinator, shows only their active events with coordinator, status, client and date, and each opens its event</t>
        </is>
      </c>
      <c r="D16" s="17" t="inlineStr">
        <is>
          <t>AC5, AC6, AC7, AC8</t>
        </is>
      </c>
      <c r="E16" s="17" t="inlineStr">
        <is>
          <t>Positive</t>
        </is>
      </c>
      <c r="F16" s="17" t="inlineStr">
        <is>
          <t>npm run fixtures:spm84 has been run (Aisha Karim has three active and four inactive SPM84 events, all for the client Meridian Financial Group).
Logged in as the Event Coordinator Lead, Grace Lim (grace.lim@connectsphere.com / password123).</t>
        </is>
      </c>
      <c r="G16" s="17" t="inlineStr">
        <is>
          <t>Coordinator filter: Aisha Karim</t>
        </is>
      </c>
      <c r="H16" s="17" t="inlineStr">
        <is>
          <t>1. Click 'Assignments' in the sidebar
2. Click the 'Active events' tab
3. In 'Coordinator', choose 'Aisha Karim'
4. Click 'SPM84 Harbour Gala'</t>
        </is>
      </c>
      <c r="I16" s="17" t="inlineStr">
        <is>
          <t>Step 2: A table of active events opens with the columns Event, Client, When, Status, Coordinator and 'Reassign to', and the filters 'Coordinator' (set to 'Any coordinator') and 'Status' (set to 'Any status').
Step 3: Exactly three rows remain: 'SPM84 Harbour Gala' (Planning, 9 Nov 2027), 'SPM84 Orchard Forum' (Under review, 11 Nov 2027) and 'SPM84 Postponed Retreat' (Postponed, 16 Nov 2027), each with Client 'Meridian Financial Group' and Coordinator 'Aisha Karim'. SPM84 Closed Showcase, SPM84 Called Off Expo, SPM84 Rejected Request and SPM84 Withdrawn Request are not listed.
Step 4: The event's Overview opens with the title 'SPM84 Harbour Gala', the status 'Planning', Coordinator 'Aisha Karim' and Company 'Meridian Financial Group', and a 'Change coordinator' card.</t>
        </is>
      </c>
      <c r="J16" s="7" t="n"/>
      <c r="K16" s="13" t="n"/>
      <c r="L16" s="7" t="n"/>
    </row>
    <row r="17" ht="123" customHeight="1" s="21">
      <c r="A17" s="17" t="n">
        <v>10</v>
      </c>
      <c r="B17" s="17" t="inlineStr">
        <is>
          <t>SPM-84-TC09</t>
        </is>
      </c>
      <c r="C17" s="17" t="inlineStr">
        <is>
          <t>Reassigning from the Active events list moves the event to the new coordinator and updates both coordinators' counts</t>
        </is>
      </c>
      <c r="D17" s="17" t="inlineStr">
        <is>
          <t>AC9, AC11, AC2</t>
        </is>
      </c>
      <c r="E17" s="17" t="inlineStr">
        <is>
          <t>Positive</t>
        </is>
      </c>
      <c r="F17" s="17" t="inlineStr">
        <is>
          <t>Run npm run fixtures:spm84 before and after this case ('SPM84 Harbour Gala' is assigned to Aisha Karim, who has 3 active events; Benjamin Lau has 1).
Logged in as the Event Coordinator Lead, Grace Lim (grace.lim@connectsphere.com / password123).</t>
        </is>
      </c>
      <c r="G17" s="17" t="inlineStr">
        <is>
          <t>Event: SPM84 Harbour Gala | From: Aisha Karim | To: Benjamin Lau</t>
        </is>
      </c>
      <c r="H17" s="17" t="inlineStr">
        <is>
          <t>1. Click 'Assignments' in the sidebar
2. Click the 'Active events' tab
3. In 'Coordinator', choose 'Aisha Karim'
4. On the 'SPM84 Harbour Gala' row, choose 'Benjamin Lau' in 'Reassign to'
5. Click 'Reassign'
6. Click 'Reassign' in the dialog
7. Click the 'Coordinators' tab</t>
        </is>
      </c>
      <c r="I17" s="17" t="inlineStr">
        <is>
          <t>Step 5: A dialog 'Reassign this event?' appears, saying Aisha Karim will no longer be able to manage it and that both coordinators are notified.
Step 6: The message '"SPM84 Harbour Gala" has been reassigned from Aisha Karim to Benjamin Lau.' appears, and 'SPM84 Harbour Gala' leaves the list filtered to Aisha Karim.
Step 7: Aisha Karim's 'Active events' count is now 2 and Benjamin Lau's is 2.</t>
        </is>
      </c>
      <c r="J17" s="7" t="n"/>
      <c r="K17" s="13" t="n"/>
      <c r="L17" s="7" t="n"/>
    </row>
    <row r="18" ht="20" customHeight="1" s="21">
      <c r="A18" s="6" t="inlineStr">
        <is>
          <t>SPM-23  Create Event Request  -  no fixture script: uses the base seed data</t>
        </is>
      </c>
      <c r="B18" s="16" t="n"/>
      <c r="C18" s="16" t="n"/>
      <c r="D18" s="16" t="n"/>
      <c r="E18" s="16" t="n"/>
      <c r="F18" s="16" t="n"/>
      <c r="G18" s="16" t="n"/>
      <c r="H18" s="16" t="n"/>
      <c r="I18" s="16" t="n"/>
      <c r="J18" s="16" t="n"/>
      <c r="K18" s="16" t="n"/>
      <c r="L18" s="16" t="n"/>
    </row>
    <row r="19" ht="78" customHeight="1" s="21">
      <c r="A19" s="17" t="n">
        <v>11</v>
      </c>
      <c r="B19" s="17" t="inlineStr">
        <is>
          <t>SPM-23-TC01</t>
        </is>
      </c>
      <c r="C19" s="17" t="inlineStr">
        <is>
          <t>Organiser can enter an event name and purpose</t>
        </is>
      </c>
      <c r="D19" s="17" t="inlineStr">
        <is>
          <t>AC1</t>
        </is>
      </c>
      <c r="E19" s="17" t="inlineStr">
        <is>
          <t>Positive</t>
        </is>
      </c>
      <c r="F19" s="17" t="inlineStr">
        <is>
          <t>Logged in as rachel.ng@meridianfina.com / password123 (a seeded Event Organiser). Use your own initials in place of "KC" in every event name below so your drafts never clash with another tester's. On the "New event request" page.</t>
        </is>
      </c>
      <c r="G19" s="17" t="inlineStr">
        <is>
          <t>Event name: Nusantara Product Launch 2026 - KC; Purpose: Regional product launch and press event</t>
        </is>
      </c>
      <c r="H19" s="17" t="inlineStr">
        <is>
          <t>1. Enter "Nusantara Product Launch 2026 - KC" into Event name
2. Enter "Regional product launch and press event" into Purpose
3. Click "Save draft"</t>
        </is>
      </c>
      <c r="I19" s="17" t="inlineStr">
        <is>
          <t>The browser returns to "My events".
The new draft appears with the title "Nusantara Product Launch 2026 - KC". Reopening it shows Purpose still filled in as "Regional product launch and press event".</t>
        </is>
      </c>
      <c r="J19" s="7" t="n"/>
      <c r="K19" s="13" t="n"/>
      <c r="L19" s="7" t="n"/>
    </row>
    <row r="20" ht="93" customHeight="1" s="21">
      <c r="A20" s="17" t="n">
        <v>12</v>
      </c>
      <c r="B20" s="17" t="inlineStr">
        <is>
          <t>SPM-23-TC03</t>
        </is>
      </c>
      <c r="C20" s="17" t="inlineStr">
        <is>
          <t>Organiser can enter and save an event description</t>
        </is>
      </c>
      <c r="D20" s="17" t="inlineStr">
        <is>
          <t>AC2</t>
        </is>
      </c>
      <c r="E20" s="17" t="inlineStr">
        <is>
          <t>Positive</t>
        </is>
      </c>
      <c r="F20" s="17" t="inlineStr">
        <is>
          <t>Logged in as rachel.ng@meridianfina.com / password123 (a seeded Event Organiser). Use your own initials in place of "KC" in every event name below so your drafts never clash with another tester's, on the "New event request" page.</t>
        </is>
      </c>
      <c r="G20" s="17" t="inlineStr">
        <is>
          <t>Description: Press event with livestream and product demonstration area.</t>
        </is>
      </c>
      <c r="H20" s="17" t="inlineStr">
        <is>
          <t>1. Enter "Nusantara Product Launch 2026 - KC" into Event name
2. Enter "Press event with livestream and product demonstration area." into Description
3. Click "Save draft"
4. From "My events", open the draft again</t>
        </is>
      </c>
      <c r="I20" s="17" t="inlineStr">
        <is>
          <t>The draft is saved. Reopening it shows the Description field still reading "Press event with livestream and product demonstration area."</t>
        </is>
      </c>
      <c r="J20" s="7" t="n"/>
      <c r="K20" s="13" t="n"/>
      <c r="L20" s="7" t="n"/>
    </row>
    <row r="21" ht="123" customHeight="1" s="21">
      <c r="A21" s="17" t="n">
        <v>13</v>
      </c>
      <c r="B21" s="17" t="inlineStr">
        <is>
          <t>SPM-23-TC04</t>
        </is>
      </c>
      <c r="C21" s="17" t="inlineStr">
        <is>
          <t>Organiser can specify the proposed date and time</t>
        </is>
      </c>
      <c r="D21" s="17" t="inlineStr">
        <is>
          <t>AC3</t>
        </is>
      </c>
      <c r="E21" s="17" t="inlineStr">
        <is>
          <t>Positive</t>
        </is>
      </c>
      <c r="F21" s="17" t="inlineStr">
        <is>
          <t>Logged in as rachel.ng@meridianfina.com / password123 (a seeded Event Organiser). Use your own initials in place of "KC" in every event name below so your drafts never clash with another tester's, on the "New event request" page, with Event name "Nusantara Product Launch 2026 - KC", Type of event "Exhibition", and Expected attendance 200 already filled in.</t>
        </is>
      </c>
      <c r="G21" s="17" t="inlineStr">
        <is>
          <t>Event name: Nusantara Product Launch 2026 - KC; Starts at: 5 Dec 2026, 9:00 AM; Ends at: 5 Dec 2026, 5:00 PM</t>
        </is>
      </c>
      <c r="H21" s="17" t="inlineStr">
        <is>
          <t>1. Set Starts at to 5 Dec 2026, 9:00 AM
2. Set Ends at to 5 Dec 2026, 5:00 PM
3. Click "Submit request"
4. Open the "My events" page</t>
        </is>
      </c>
      <c r="I21" s="17" t="inlineStr">
        <is>
          <t>No message appears and the request is submitted. "My events" lists it under "Submitted" (not under Drafts) with status "Submitted" and When "5 Dec 2026, 09:00–17:00"</t>
        </is>
      </c>
      <c r="J21" s="7" t="n"/>
      <c r="K21" s="13" t="n"/>
      <c r="L21" s="7" t="n"/>
    </row>
    <row r="22" ht="108" customHeight="1" s="21">
      <c r="A22" s="17" t="n">
        <v>14</v>
      </c>
      <c r="B22" s="17" t="inlineStr">
        <is>
          <t>SPM-23-TC07</t>
        </is>
      </c>
      <c r="C22" s="17" t="inlineStr">
        <is>
          <t>Organiser can specify expected attendance</t>
        </is>
      </c>
      <c r="D22" s="17" t="inlineStr">
        <is>
          <t>AC4</t>
        </is>
      </c>
      <c r="E22" s="17" t="inlineStr">
        <is>
          <t>Positive</t>
        </is>
      </c>
      <c r="F22" s="17" t="inlineStr">
        <is>
          <t>Logged in as rachel.ng@meridianfina.com / password123 (a seeded Event Organiser). Use your own initials in place of "KC" in every event name below so your drafts never clash with another tester's, on the "New event request" page, with Event name, Type of event, Starts at and Ends at already filled in with valid values.</t>
        </is>
      </c>
      <c r="G22" s="17" t="inlineStr">
        <is>
          <t>Expected attendance: 250</t>
        </is>
      </c>
      <c r="H22" s="17" t="inlineStr">
        <is>
          <t>1. Enter 250 into Expected attendance
2. Click "Submit request"
3. Open the "My events" page</t>
        </is>
      </c>
      <c r="I22" s="17" t="inlineStr">
        <is>
          <t>No message appears and the request is submitted. "My events" lists it under "Submitted" with status "Submitted" and Attendance 250.</t>
        </is>
      </c>
      <c r="J22" s="7" t="n"/>
      <c r="K22" s="13" t="n"/>
      <c r="L22" s="7" t="n"/>
    </row>
    <row r="23" ht="108" customHeight="1" s="21">
      <c r="A23" s="17" t="n">
        <v>15</v>
      </c>
      <c r="B23" s="17" t="inlineStr">
        <is>
          <t>SPM-23-TC10</t>
        </is>
      </c>
      <c r="C23" s="17" t="inlineStr">
        <is>
          <t>Organiser can specify venue and accessibility requirements</t>
        </is>
      </c>
      <c r="D23" s="17" t="inlineStr">
        <is>
          <t>AC5</t>
        </is>
      </c>
      <c r="E23" s="17" t="inlineStr">
        <is>
          <t>Positive</t>
        </is>
      </c>
      <c r="F23" s="17" t="inlineStr">
        <is>
          <t>Logged in as rachel.ng@meridianfina.com / password123 (a seeded Event Organiser). Use your own initials in place of "KC" in every event name below so your drafts never clash with another tester's, on the "New event request" page, with Event name "Nusantara Product Launch 2026 - KC" filled in.</t>
        </is>
      </c>
      <c r="G23" s="17" t="inlineStr">
        <is>
          <t>Event name: Nusantara Product Launch 2026 - KC; Venue requirement: High-density WiFi; Accessibility need: Wheelchair spaces</t>
        </is>
      </c>
      <c r="H23" s="17" t="inlineStr">
        <is>
          <t>1. Tick "High-density WiFi" under "The venue must have"
2. Tick "Wheelchair spaces" under "Accessibility needs"
3. Click "Save draft"
4. From "My events", open the draft you just saved (find it by its name)</t>
        </is>
      </c>
      <c r="I23" s="17" t="inlineStr">
        <is>
          <t>The browser returns to "My events" and the draft is listed. Reopening it shows both "High-density WiFi" (under "The venue must have") and "Wheelchair spaces" (under "Accessibility needs") still ticked.</t>
        </is>
      </c>
      <c r="J23" s="7" t="n"/>
      <c r="K23" s="13" t="n"/>
      <c r="L23" s="7" t="n"/>
    </row>
    <row r="24" ht="123" customHeight="1" s="21">
      <c r="A24" s="17" t="n">
        <v>16</v>
      </c>
      <c r="B24" s="17" t="inlineStr">
        <is>
          <t>SPM-23-TC18</t>
        </is>
      </c>
      <c r="C24" s="17" t="inlineStr">
        <is>
          <t>A fully completed request can be submitted</t>
        </is>
      </c>
      <c r="D24" s="17" t="inlineStr">
        <is>
          <t>AC7</t>
        </is>
      </c>
      <c r="E24" s="17" t="inlineStr">
        <is>
          <t>Positive</t>
        </is>
      </c>
      <c r="F24" s="17" t="inlineStr">
        <is>
          <t>Logged in as rachel.ng@meridianfina.com / password123 (a seeded Event Organiser). Use your own initials in place of "KC" in every event name below so your drafts never clash with another tester's, on the "New event request" page.</t>
        </is>
      </c>
      <c r="G24" s="17" t="inlineStr">
        <is>
          <t>Event name: Nusantara Product Launch 2026 - KC; Type: Exhibition; Starts at: 5 Dec 2026, 9:00 AM; Ends at: 5 Dec 2026, 5:00 PM; Expected attendance: 200</t>
        </is>
      </c>
      <c r="H24" s="17" t="inlineStr">
        <is>
          <t>1. Enter "Nusantara Product Launch 2026 - KC" into Event name
2. Select "Exhibition" as Type of event
3. Set Starts at to 5 Dec 2026, 9:00 AM and Ends at to 5 Dec 2026, 5:00 PM
4. Enter 200 into Expected attendance
5. Click "Submit request"
6. Open the "My events" page</t>
        </is>
      </c>
      <c r="I24" s="17" t="inlineStr">
        <is>
          <t>No message appears and the request is submitted. "My events" lists it under "Submitted" (not under Drafts) with status "Submitted", When "5 Dec 2026, 09:00–17:00" and Attendance 200.</t>
        </is>
      </c>
      <c r="J24" s="7" t="n"/>
      <c r="K24" s="13" t="n"/>
      <c r="L24" s="7" t="n"/>
    </row>
    <row r="25" ht="168" customHeight="1" s="21">
      <c r="A25" s="17" t="n">
        <v>17</v>
      </c>
      <c r="B25" s="17" t="inlineStr">
        <is>
          <t>SPM-23-TC27</t>
        </is>
      </c>
      <c r="C25" s="17" t="inlineStr">
        <is>
          <t>A multi-session draft is identifiable as a draft and shows the span and largest attendance</t>
        </is>
      </c>
      <c r="D25" s="17" t="inlineStr">
        <is>
          <t>AC6, AC8</t>
        </is>
      </c>
      <c r="E25" s="17" t="inlineStr">
        <is>
          <t>Positive</t>
        </is>
      </c>
      <c r="F25" s="17"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"This event has multiple sessions" ticked, Session 1 = 5 Dec 2026 9:00 AM - 5:00 PM (300 attendees) and Session 2 = 6 Dec 2026 9:00 AM - 5:00 PM (80 attendees).</t>
        </is>
      </c>
      <c r="G25" s="17" t="inlineStr">
        <is>
          <t>Event name: Nusantara Summit 2026 - KC; Session 1: 300 attendees; Session 2: 80 attendees</t>
        </is>
      </c>
      <c r="H25" s="17" t="inlineStr">
        <is>
          <t>1. Click "Save draft"
2. Look at the new draft's row in "My events"</t>
        </is>
      </c>
      <c r="I25" s="17" t="inlineStr">
        <is>
          <t>The event appears under "Drafts - not yet submitted" with a "Draft" status badge, visually distinct from submitted requests. Its When column shows "5 Dec 2026, 09:00 – 6 Dec 2026, 17:00" (first session start to last session end) and Attendance shows 300 (the largest single session, not 380).</t>
        </is>
      </c>
      <c r="J25" s="7" t="n"/>
      <c r="K25" s="13" t="n"/>
      <c r="L25" s="7" t="n"/>
    </row>
    <row r="26" ht="20" customHeight="1" s="21">
      <c r="A26" s="6" t="inlineStr">
        <is>
          <t>SPM-24  Save Draft Event Request  -  no fixture script: uses the base seed data</t>
        </is>
      </c>
      <c r="B26" s="16" t="n"/>
      <c r="C26" s="16" t="n"/>
      <c r="D26" s="16" t="n"/>
      <c r="E26" s="16" t="n"/>
      <c r="F26" s="16" t="n"/>
      <c r="G26" s="16" t="n"/>
      <c r="H26" s="16" t="n"/>
      <c r="I26" s="16" t="n"/>
      <c r="J26" s="16" t="n"/>
      <c r="K26" s="16" t="n"/>
      <c r="L26" s="16" t="n"/>
    </row>
    <row r="27" ht="78" customHeight="1" s="21">
      <c r="A27" s="17" t="n">
        <v>18</v>
      </c>
      <c r="B27" s="17" t="inlineStr">
        <is>
          <t>SPM-24-TC06</t>
        </is>
      </c>
      <c r="C27" s="17" t="inlineStr">
        <is>
          <t>Organiser can leave and return to a saved draft</t>
        </is>
      </c>
      <c r="D27" s="17" t="inlineStr">
        <is>
          <t>AC3</t>
        </is>
      </c>
      <c r="E27" s="17" t="inlineStr">
        <is>
          <t>Positive</t>
        </is>
      </c>
      <c r="F27" s="17" t="inlineStr">
        <is>
          <t>Seeded draft "Q1 Investor Update (rough idea)" owned by rachel.ng@meridianfina.com. Its saved description reads "Still checking dates with the exec team."</t>
        </is>
      </c>
      <c r="G27" s="17" t="inlineStr">
        <is>
          <t>Login: rachel.ng@meridianfina.com / password123</t>
        </is>
      </c>
      <c r="H27" s="17" t="inlineStr">
        <is>
          <t>1. Log in as rachel.ng@meridianfina.com / password123
2. Log out
3. Log back in as rachel.ng@meridianfina.com / password123
4. Open the "My events" page
5. Click the "Q1 Investor Update (rough idea)" row</t>
        </is>
      </c>
      <c r="I27" s="17" t="inlineStr">
        <is>
          <t>The "Edit draft" page opens with every previously saved value already filled in, including the Description field reading "Still checking dates with the exec team."
The Draft badge is still shown.</t>
        </is>
      </c>
      <c r="J27" s="7" t="n"/>
      <c r="K27" s="13" t="n"/>
      <c r="L27" s="7" t="n"/>
    </row>
    <row r="28" ht="123" customHeight="1" s="21">
      <c r="A28" s="17" t="n">
        <v>19</v>
      </c>
      <c r="B28" s="17" t="inlineStr">
        <is>
          <t>SPM-24-TC09</t>
        </is>
      </c>
      <c r="C28" s="17" t="inlineStr">
        <is>
          <t>Editing a draft's fields saves the changes</t>
        </is>
      </c>
      <c r="D28" s="17" t="inlineStr">
        <is>
          <t>AC4</t>
        </is>
      </c>
      <c r="E28" s="17" t="inlineStr">
        <is>
          <t>Positive</t>
        </is>
      </c>
      <c r="F28" s="17" t="inlineStr">
        <is>
          <t>Draft "Annual Partner Appreciation Dinner" from TC01, owned by rachel.ng@meridianfina.com, has no other fields set yet.</t>
        </is>
      </c>
      <c r="G28" s="17" t="inlineStr">
        <is>
          <t>Event name: Annual Partner Appreciation Dinner - Updated; Type of event: Conference; Starts at: 10 Nov 2026, 9:00 AM; Ends at: 10 Nov 2026, 5:00 PM</t>
        </is>
      </c>
      <c r="H28" s="17" t="inlineStr">
        <is>
          <t>1. Log in as rachel.ng@meridianfina.com / password123
2. Open the draft's "Edit draft" page
3. Change Event name to "Annual Partner Appreciation Dinner - Updated"
4. Set Type of event to "Conference"
5. Set Starts at to 10 Nov 2026, 9:00 AM and Ends at to 10 Nov 2026, 5:00 PM
6. Click "Save draft"</t>
        </is>
      </c>
      <c r="I28" s="17" t="inlineStr">
        <is>
          <t>The browser returns to "My events". Status remains "Draft". Reopening the draft shows all the updated values.</t>
        </is>
      </c>
      <c r="J28" s="7" t="n"/>
      <c r="K28" s="13" t="n"/>
      <c r="L28" s="7" t="n"/>
    </row>
    <row r="29" ht="48" customHeight="1" s="21">
      <c r="A29" s="17" t="n">
        <v>20</v>
      </c>
      <c r="B29" s="17" t="inlineStr">
        <is>
          <t>SPM-24-TC14</t>
        </is>
      </c>
      <c r="C29" s="17" t="inlineStr">
        <is>
          <t>A complete draft can be submitted and leaves draft status</t>
        </is>
      </c>
      <c r="D29" s="17" t="inlineStr">
        <is>
          <t>AC1, AC5</t>
        </is>
      </c>
      <c r="E29" s="17" t="inlineStr">
        <is>
          <t>Positive</t>
        </is>
      </c>
      <c r="F29" s="17" t="inlineStr">
        <is>
          <t>The draft from TC09 has Event name, Type, Starts at and Ends at set. Expected attendance is still missing.</t>
        </is>
      </c>
      <c r="G29" s="17" t="inlineStr">
        <is>
          <t>Expected attendance: 120 (everything else already saved from TC09)</t>
        </is>
      </c>
      <c r="H29" s="17" t="inlineStr">
        <is>
          <t>1. Open the draft's "Edit draft" page
2. Enter 120 into Expected attendance
3. Click "Submit request"</t>
        </is>
      </c>
      <c r="I29" s="17" t="inlineStr">
        <is>
          <t>The browser moves to the event's own page. Its status badge now reads "Submitted" instead of "Draft", and it no longer appears under "Drafts — not yet submitted" on "My events".</t>
        </is>
      </c>
      <c r="J29" s="7" t="n"/>
      <c r="K29" s="13" t="n"/>
      <c r="L29" s="7" t="n"/>
    </row>
    <row r="30" ht="20" customHeight="1" s="21">
      <c r="A30" s="6" t="inlineStr">
        <is>
          <t>SPM-25  Submit Event Request  -  no fixture script: uses the base seed data</t>
        </is>
      </c>
      <c r="B30" s="16" t="n"/>
      <c r="C30" s="16" t="n"/>
      <c r="D30" s="16" t="n"/>
      <c r="E30" s="16" t="n"/>
      <c r="F30" s="16" t="n"/>
      <c r="G30" s="16" t="n"/>
      <c r="H30" s="16" t="n"/>
      <c r="I30" s="16" t="n"/>
      <c r="J30" s="16" t="n"/>
      <c r="K30" s="16" t="n"/>
      <c r="L30" s="16" t="n"/>
    </row>
    <row r="31" ht="138" customHeight="1" s="21">
      <c r="A31" s="17" t="n">
        <v>21</v>
      </c>
      <c r="B31" s="17" t="inlineStr">
        <is>
          <t>SPM-25-TC01</t>
        </is>
      </c>
      <c r="C31" s="17" t="inlineStr">
        <is>
          <t>Submitting a complete event request succeeds and moves it to Submitted</t>
        </is>
      </c>
      <c r="D31" s="17" t="inlineStr">
        <is>
          <t>AC1, AC2</t>
        </is>
      </c>
      <c r="E31" s="17" t="inlineStr">
        <is>
          <t>Positive</t>
        </is>
      </c>
      <c r="F31" s="17" t="inlineStr">
        <is>
          <t>Logged in as an Event Organiser (e.g. rachel.ng@meridianfina.com).
No existing event named 'Quarterly Town Hall' for this organiser.</t>
        </is>
      </c>
      <c r="G31" s="17" t="inlineStr">
        <is>
          <t>Event name: Quarterly Town Hall
Type: Meeting
Starts at: today + 7 days, 10:00
Ends at: today + 7 days, 11:00
Expected attendance: 50</t>
        </is>
      </c>
      <c r="H31" s="17" t="inlineStr">
        <is>
          <t>1. From the sidebar, click 'My Events'
2. Click 'New event request'
3. Enter the event name 'Quarterly Town Hall'
4. Select 'Meeting' as the type of event
5. Enter a Starts at date/time 7 days from today, 10:00
6. Enter an Ends at date/time 7 days from today, 11:00
7. Enter '50' as the Expected attendance
8. Click 'Submit request'
9. From the sidebar, click 'My Events' again</t>
        </is>
      </c>
      <c r="I31" s="17" t="inlineStr">
        <is>
          <t>No validation errors appear; the form submits without returning to the New event request page.
On 'My Events', the event does NOT appear under 'Drafts — not yet submitted'.
The event appears under 'Submitted' with a 'Submitted' status badge, the correct date/time range, and attendance '50'.</t>
        </is>
      </c>
      <c r="J31" s="7" t="n"/>
      <c r="K31" s="13" t="n"/>
      <c r="L31" s="7" t="n"/>
    </row>
    <row r="32" ht="108" customHeight="1" s="21">
      <c r="A32" s="17" t="n">
        <v>22</v>
      </c>
      <c r="B32" s="17" t="inlineStr">
        <is>
          <t>SPM-25-TC05</t>
        </is>
      </c>
      <c r="C32" s="17" t="inlineStr">
        <is>
          <t>A submitted request no longer opens as an editable draft</t>
        </is>
      </c>
      <c r="D32" s="17" t="inlineStr">
        <is>
          <t>AC3</t>
        </is>
      </c>
      <c r="E32" s="17" t="inlineStr">
        <is>
          <t>Positive</t>
        </is>
      </c>
      <c r="F32" s="17" t="inlineStr">
        <is>
          <t>The event from SPM-25-TC01 ('Quarterly Town Hall') has status 'Submitted'.
Logged in as the organiser who owns it.</t>
        </is>
      </c>
      <c r="G32" s="17" t="inlineStr">
        <is>
          <t>Event: Quarterly Town Hall (status: Submitted)</t>
        </is>
      </c>
      <c r="H32" s="17" t="inlineStr">
        <is>
          <t>1. From 'My Events', confirm 'Quarterly Town Hall' is listed only under 'Submitted', not under 'Drafts — not yet submitted'
2. Use the browser's Back button to return to the 'Edit draft' page for this event that was open earlier in TC01's session (or navigate back to it via browser history)
3. Observe the page that loads</t>
        </is>
      </c>
      <c r="I32" s="17" t="inlineStr">
        <is>
          <t>'Quarterly Town Hall' is absent from the 'Drafts — not yet submitted' section.
The 'Edit draft' page shows an alert titled 'Could not open this draft' with the message 'This request has already been submitted, so it can no longer be edited here.' No form fields are shown, and a 'Back to My Events' button is offered instead.</t>
        </is>
      </c>
      <c r="J32" s="7" t="n"/>
      <c r="K32" s="13" t="n"/>
      <c r="L32" s="7" t="n"/>
    </row>
    <row r="33" ht="93" customHeight="1" s="21">
      <c r="A33" s="17" t="n">
        <v>23</v>
      </c>
      <c r="B33" s="17" t="inlineStr">
        <is>
          <t>SPM-25-TC06</t>
        </is>
      </c>
      <c r="C33" s="17" t="inlineStr">
        <is>
          <t>Event Coordinator can see a submitted request in All Events</t>
        </is>
      </c>
      <c r="D33" s="17" t="inlineStr">
        <is>
          <t>AC4</t>
        </is>
      </c>
      <c r="E33" s="17" t="inlineStr">
        <is>
          <t>Positive</t>
        </is>
      </c>
      <c r="F33" s="17" t="inlineStr">
        <is>
          <t>The event from SPM-25-TC01 ('Quarterly Town Hall') has status 'Submitted'.
Log out of the organiser account.</t>
        </is>
      </c>
      <c r="G33" s="17" t="inlineStr">
        <is>
          <t>Coordinator: daniel.tan@connectsphere.com
Filter: Submitted</t>
        </is>
      </c>
      <c r="H33" s="17" t="inlineStr">
        <is>
          <t>1. Log in as the Event Coordinator (e.g. daniel.tan@connectsphere.com)
2. From the sidebar, click 'All Events'
3. Use the 'Filter by status' dropdown to select 'Submitted'
4. Locate the 'Quarterly Town Hall' row</t>
        </is>
      </c>
      <c r="I33" s="17" t="inlineStr">
        <is>
          <t>'Quarterly Town Hall' appears in the table with its date/time range, attendance '50', and a 'Submitted' status badge — confirming the coordinator can see the submitted request.
Every other row in the table also shows a 'Submitted' status badge — the filter actually narrows the table to that status, rather than continuing to show every event regardless of the selected filter.</t>
        </is>
      </c>
      <c r="J33" s="7" t="n"/>
      <c r="K33" s="13" t="n"/>
      <c r="L33" s="7" t="n"/>
    </row>
    <row r="34" ht="20" customHeight="1" s="21">
      <c r="A34" s="6" t="inlineStr">
        <is>
          <t>SPM-26  Respond to Clarification Request  -  run npm run fixtures:spm26 before its first case</t>
        </is>
      </c>
      <c r="B34" s="16" t="n"/>
      <c r="C34" s="16" t="n"/>
      <c r="D34" s="16" t="n"/>
      <c r="E34" s="16" t="n"/>
      <c r="F34" s="16" t="n"/>
      <c r="G34" s="16" t="n"/>
      <c r="H34" s="16" t="n"/>
      <c r="I34" s="16" t="n"/>
      <c r="J34" s="16" t="n"/>
      <c r="K34" s="16" t="n"/>
      <c r="L34" s="16" t="n"/>
    </row>
    <row r="35" ht="228" customHeight="1" s="21">
      <c r="A35" s="17" t="n">
        <v>24</v>
      </c>
      <c r="B35" s="17" t="inlineStr">
        <is>
          <t>SPM-26-TC01</t>
        </is>
      </c>
      <c r="C35" s="17" t="inlineStr">
        <is>
          <t>The organiser who raised the request sees the open clarification on the event and on the Update request page, with the request's current details filled in</t>
        </is>
      </c>
      <c r="D35" s="17" t="inlineStr">
        <is>
          <t>AC1, AC2</t>
        </is>
      </c>
      <c r="E35" s="17" t="inlineStr">
        <is>
          <t>Positive</t>
        </is>
      </c>
      <c r="F35" s="17" t="inlineStr">
        <is>
          <t>Test data loaded: `npm run fixtures:spm26` has been run from the project folder (it only touches the 'SPM26 …' events, never anyone else's data).
'SPM26 Meridian Advisory Briefing' is Under review, raised by Rachel Ng and assigned to Daniel Tan, with a clarification Daniel Tan opened on 20 Oct 2026, 10:00 about Description and Expected attendance.
Logged in as Event Organiser Rachel Ng (rachel.ng@meridianfina.com / password123).</t>
        </is>
      </c>
      <c r="G35" s="17" t="inlineStr">
        <is>
          <t>Event: SPM26 Meridian Advisory Briefing
Clarification: Description, Expected attendance - 'How many advisers will attend, and is there a networking session after the briefing?'</t>
        </is>
      </c>
      <c r="H35" s="17" t="inlineStr">
        <is>
          <t>1. Click 'My Events' in the sidebar and open 'SPM26 Meridian Advisory Briefing'
2. Click 'Update request' in the 'Clarification requested' banner
3. Click 'Cancel'</t>
        </is>
      </c>
      <c r="I35" s="17" t="inlineStr">
        <is>
          <t>Step 1: The event page shows the 'Under review' badge and an amber 'Clarification requested' banner listing 'Needs clarification: Description, Expected attendance', the message 'How many advisers will attend, and is there a networking session after the briefing?', 'Asked by Daniel Tan on 20 Oct 2026, 10:00' and an 'Update request' button.
Step 2: The 'Update request' page opens with the 'Under review' badge. At the top a 'Clarification requested' box shows the same items, message and 'Asked by Daniel Tan on 20 Oct 2026, 10:00'. The form is filled in with the request as it stands: Event name 'SPM26 Meridian Advisory Briefing', Type of event 'Conference', Description 'Half-day session followed by networking.', Expected attendance '80', Preferred room layout 'Theatre'. At the bottom are 'Resubmit request' and 'Cancel'; there is no 'Save draft' or 'Submit request' button.
Step 3: The event page opens again, still 'Under review', with the same 'Clarification requested' banner and Expected attendance '80'.</t>
        </is>
      </c>
      <c r="J35" s="7" t="n"/>
      <c r="K35" s="13" t="n"/>
      <c r="L35" s="7" t="n"/>
    </row>
    <row r="36" ht="198" customHeight="1" s="21">
      <c r="A36" s="17" t="n">
        <v>25</v>
      </c>
      <c r="B36" s="17" t="inlineStr">
        <is>
          <t>SPM-26-TC02</t>
        </is>
      </c>
      <c r="C36" s="17" t="inlineStr">
        <is>
          <t>The organiser changes fields the coordinator asked about and one they did not, resubmits, and the event stays Under review with the clarification answered</t>
        </is>
      </c>
      <c r="D36" s="17" t="inlineStr">
        <is>
          <t>AC2, AC3, AC4</t>
        </is>
      </c>
      <c r="E36" s="17" t="inlineStr">
        <is>
          <t>Positive</t>
        </is>
      </c>
      <c r="F36" s="17" t="inlineStr">
        <is>
          <t>THIS RUN: SPM-26-TC03 is not selected. Skip it, and run the fixture script once the selected cases that follow on from this one are done.
Run `npm run fixtures:spm26` before this case: it resubmits 'SPM26 Meridian Advisory Briefing'. Go straight on to SPM-26-TC03 and reset after that one.
'SPM26 Meridian Advisory Briefing' is Under review, raised by Rachel Ng and assigned to Daniel Tan, with a clarification open about Description and Expected attendance.
Logged in as Event Organiser Rachel Ng (rachel.ng@meridianfina.com / password123).</t>
        </is>
      </c>
      <c r="G36" s="17" t="inlineStr">
        <is>
          <t>Event: SPM26 Meridian Advisory Briefing
Description: Half-day briefing for 120 advisers, followed by a networking lunch.
Expected attendance: 120 (was 80)
Preferred room layout: Classroom (was Theatre - not one of the items the coordinator asked about)</t>
        </is>
      </c>
      <c r="H36" s="17" t="inlineStr">
        <is>
          <t>1. Click 'My Events' in the sidebar and open 'SPM26 Meridian Advisory Briefing'
2. Click 'Update request' in the 'Clarification requested' banner
3. Replace 'Description' with the new description
4. Replace 'Expected attendance' with 120
5. Change 'Preferred room layout' to 'Classroom'
6. Click 'Resubmit request'
7. Click 'My Events' in the sidebar</t>
        </is>
      </c>
      <c r="I36" s="17" t="inlineStr">
        <is>
          <t>Step 6: The event page opens with a green message 'Your updated request has been sent to Daniel Tan. It stays Under review.' The status badge reads 'Under review', no 'Clarification requested' banner is shown, and Details shows Expected attendance '120', Preferred layout 'Classroom' and Description 'Half-day briefing for 120 advisers, followed by a networking lunch.'
Step 7: 'SPM26 Meridian Advisory Briefing' is listed with the 'Under review' badge.</t>
        </is>
      </c>
      <c r="J36" s="7" t="n"/>
      <c r="K36" s="13" t="n"/>
      <c r="L36" s="7" t="n"/>
    </row>
    <row r="37" ht="20" customHeight="1" s="21">
      <c r="A37" s="6" t="inlineStr">
        <is>
          <t>SPM-29  Request Event Clarification  -  run npm run fixtures:spm29 before its first case</t>
        </is>
      </c>
      <c r="B37" s="16" t="n"/>
      <c r="C37" s="16" t="n"/>
      <c r="D37" s="16" t="n"/>
      <c r="E37" s="16" t="n"/>
      <c r="F37" s="16" t="n"/>
      <c r="G37" s="16" t="n"/>
      <c r="H37" s="16" t="n"/>
      <c r="I37" s="16" t="n"/>
      <c r="J37" s="16" t="n"/>
      <c r="K37" s="16" t="n"/>
      <c r="L37" s="16" t="n"/>
    </row>
    <row r="38" ht="228" customHeight="1" s="21">
      <c r="A38" s="17" t="n">
        <v>26</v>
      </c>
      <c r="B38" s="17" t="inlineStr">
        <is>
          <t>SPM-29-TC02</t>
        </is>
      </c>
      <c r="C38" s="17" t="inlineStr">
        <is>
          <t>The assigned coordinator sends a clarification request and the event stays Under review with the request shown on it</t>
        </is>
      </c>
      <c r="D38" s="17" t="inlineStr">
        <is>
          <t>AC1, AC2, AC3, AC4</t>
        </is>
      </c>
      <c r="E38" s="17" t="inlineStr">
        <is>
          <t>Positive</t>
        </is>
      </c>
      <c r="F38" s="17" t="inlineStr">
        <is>
          <t>Run `npm run fixtures:spm29` before this case (and again after it): it sends a request on 'SPM29 Meridian Clarity Summit'.
'SPM29 Meridian Clarity Summit' is Under review, assigned to Daniel Tan, raised by Rachel Ng, with no clarification open.
Logged in as Event Coordinator Daniel Tan (daniel.tan@connectsphere.com / password123).</t>
        </is>
      </c>
      <c r="G38" s="17" t="inlineStr">
        <is>
          <t>Event: SPM29 Meridian Clarity Summit
Items: Purpose, When
Message: Is this a dinner or a conference? Which day do you need?</t>
        </is>
      </c>
      <c r="H38" s="17" t="inlineStr">
        <is>
          <t>1. Click 'Review Queue' in the sidebar and open 'SPM29 Meridian Clarity Summit'
2. Click 'Review request'
3. Choose 'Ask the organiser for clarification'
4. Tick 'Purpose' and 'When' under 'What needs clarification'
5. Type the message in 'Message to the organiser'
6. Click 'Send request'
7. Click 'Review Queue' in the sidebar
8. Open 'SPM29 Meridian Clarity Summit'
9. Log out and log in as Event Organiser Rachel Ng (rachel.ng@meridianfina.com / password123)
10. Click 'My Events' in the sidebar and open 'SPM29 Meridian Clarity Summit'</t>
        </is>
      </c>
      <c r="I38" s="17" t="inlineStr">
        <is>
          <t>Step 6: A green 'Clarification requested' message says the event stays Under review and the organiser can see the request on the event. The status badge at the top still reads 'Under review'. An 'Open clarification' box shows 'Purpose, When', the message 'Is this a dinner or a conference? Which day do you need?' and 'Asked by Daniel Tan' with today's date and time. 'Ask the organiser for clarification' is no longer offered, while 'Approve — planning can start' and 'Reject this request' still are.
Step 7: 'SPM29 Meridian Clarity Summit' is still listed in the Review Queue with the 'Under review' badge.
Step 8: The event page shows the 'Under review' badge and an amber 'Clarification requested' banner with 'Purpose, When', the message and 'Asked by Daniel Tan' with today's date and time.
Step 10: Rachel Ng's event page shows the 'Under review' badge and the same 'Clarification requested' banner with 'Purpose, When', the message and 'Asked by Daniel Tan'.</t>
        </is>
      </c>
      <c r="J38" s="7" t="n"/>
      <c r="K38" s="13" t="n"/>
      <c r="L38" s="7" t="n"/>
    </row>
    <row r="39" ht="20" customHeight="1" s="21">
      <c r="A39" s="6" t="inlineStr">
        <is>
          <t>SPM-59  Record Request Withdrawal  -  run npm run fixtures:spm59 before its first case</t>
        </is>
      </c>
      <c r="B39" s="16" t="n"/>
      <c r="C39" s="16" t="n"/>
      <c r="D39" s="16" t="n"/>
      <c r="E39" s="16" t="n"/>
      <c r="F39" s="16" t="n"/>
      <c r="G39" s="16" t="n"/>
      <c r="H39" s="16" t="n"/>
      <c r="I39" s="16" t="n"/>
      <c r="J39" s="16" t="n"/>
      <c r="K39" s="16" t="n"/>
      <c r="L39" s="16" t="n"/>
    </row>
    <row r="40" ht="183" customHeight="1" s="21">
      <c r="A40" s="17" t="n">
        <v>27</v>
      </c>
      <c r="B40" s="17" t="inlineStr">
        <is>
          <t>SPM-59-TC01</t>
        </is>
      </c>
      <c r="C40" s="17" t="inlineStr">
        <is>
          <t>The assigned coordinator records the organiser's withdrawal of a request under review, and its status changes to Withdrawn</t>
        </is>
      </c>
      <c r="D40" s="17" t="inlineStr">
        <is>
          <t>AC1, AC2</t>
        </is>
      </c>
      <c r="E40" s="17" t="inlineStr">
        <is>
          <t>Positive</t>
        </is>
      </c>
      <c r="F40" s="17" t="inlineStr">
        <is>
          <t>THIS RUN: SPM-59-TC02 is not selected. Skip it, and run the fixture script once the selected cases that follow on from this one are done.
Run npm run fixtures:spm59 before this case. 'SPM59 Harbour Strategy Day' is Under review, organised by Rachel Ng and assigned to Daniel Tan. Logged in as daniel.tan@connectsphere.com / password123 (Event Coordinator). SPM-59-TC02 continues from this case, so go straight to it and run npm run fixtures:spm59 after it.</t>
        </is>
      </c>
      <c r="G40" s="17" t="inlineStr">
        <is>
          <t>Event: SPM59 Harbour Strategy Day (Under review, coordinator Daniel Tan)</t>
        </is>
      </c>
      <c r="H40" s="17" t="inlineStr">
        <is>
          <t>1. Click 'All Events' in the sidebar and open 'SPM59 Harbour Strategy Day'
2. Click 'Record withdrawal'
3. Click 'Keep request' in the dialog
4. Click 'Record withdrawal' again
5. Click 'Record withdrawal' in the dialog
6. Click 'Review Queue' in the sidebar</t>
        </is>
      </c>
      <c r="I40" s="17" t="inlineStr">
        <is>
          <t>Step 1: The event page shows the 'Under review' status badge, the 'This request is waiting for your review' alert and a 'Record withdrawal' button.
Step 2: A dialog 'Record this withdrawal?' reads 'Only do this when the organiser has asked to withdraw. SPM59 Harbour Strategy Day will be marked Withdrawn and can't be reopened. To go ahead later, the organiser submits a new request.' with the buttons 'Keep request' and 'Record withdrawal'.
Step 3: The dialog closes and the status badge still reads 'Under review'.
Step 5: A green alert reads 'The withdrawal has been recorded.' The status badge reads 'Withdrawn', Status in the Details card reads 'Withdrawn', and the 'Record withdrawal' button and the 'This request is waiting for your review' alert are gone.
Step 6: 'SPM59 Harbour Strategy Day' is not listed.</t>
        </is>
      </c>
      <c r="J40" s="7" t="n"/>
      <c r="K40" s="13" t="n"/>
      <c r="L40" s="7" t="n"/>
    </row>
    <row r="41" ht="108" customHeight="1" s="21">
      <c r="A41" s="17" t="n">
        <v>28</v>
      </c>
      <c r="B41" s="17" t="inlineStr">
        <is>
          <t>SPM-59-TC05</t>
        </is>
      </c>
      <c r="C41" s="17" t="inlineStr">
        <is>
          <t>On My Events a withdrawn request has its own Withdrawn badge, distinct from Draft, Submitted, Approved and Rejected requests, and its own status filter</t>
        </is>
      </c>
      <c r="D41" s="17" t="inlineStr">
        <is>
          <t>AC3, AC5</t>
        </is>
      </c>
      <c r="E41" s="17" t="inlineStr">
        <is>
          <t>Positive</t>
        </is>
      </c>
      <c r="F41" s="17" t="inlineStr">
        <is>
          <t>npm run fixtures:spm59 has been run. Rachel Ng organises 'SPM59 Draft Offsite' (Draft), 'SPM59 Submitted Briefing' (Submitted), 'SPM59 Approved Seminar' (Approved), 'SPM59 Rejected Gala' (Rejected) and 'SPM59 Withdrawn Product Launch' (Withdrawn). Logged in as rachel.ng@meridianfina.com / password123. Nothing is saved in this case.</t>
        </is>
      </c>
      <c r="G41" s="17" t="inlineStr">
        <is>
          <t>Organiser: Rachel Ng
Events: SPM59 Draft Offsite, SPM59 Submitted Briefing, SPM59 Approved Seminar, SPM59 Rejected Gala, SPM59 Withdrawn Product Launch</t>
        </is>
      </c>
      <c r="H41" s="17" t="inlineStr">
        <is>
          <t>1. Click 'My Events' in the sidebar
2. Choose 'Withdrawn' in 'Filter by status'</t>
        </is>
      </c>
      <c r="I41" s="17" t="inlineStr">
        <is>
          <t>Step 1: 'SPM59 Draft Offsite' is listed under 'Drafts — not yet submitted'. Under 'Submitted', 'SPM59 Submitted Briefing' shows 'Submitted', 'SPM59 Approved Seminar' 'Approved', 'SPM59 Rejected Gala' 'Rejected' and 'SPM59 Withdrawn Product Launch' 'Withdrawn' - each its own badge.
Step 2: 'SPM59 Withdrawn Product Launch' is listed and every row shows 'Withdrawn'. None of the other four SPM59 events is listed.</t>
        </is>
      </c>
      <c r="J41" s="7" t="n"/>
      <c r="K41" s="13" t="n"/>
      <c r="L41" s="7" t="n"/>
    </row>
    <row r="42" ht="20" customHeight="1" s="21">
      <c r="A42" s="6" t="inlineStr">
        <is>
          <t>SPM-27  View Event Status  -  run npm run fixtures:spm27 before its first case</t>
        </is>
      </c>
      <c r="B42" s="16" t="n"/>
      <c r="C42" s="16" t="n"/>
      <c r="D42" s="16" t="n"/>
      <c r="E42" s="16" t="n"/>
      <c r="F42" s="16" t="n"/>
      <c r="G42" s="16" t="n"/>
      <c r="H42" s="16" t="n"/>
      <c r="I42" s="16" t="n"/>
      <c r="J42" s="16" t="n"/>
      <c r="K42" s="16" t="n"/>
      <c r="L42" s="16" t="n"/>
    </row>
    <row r="43" ht="273" customHeight="1" s="21">
      <c r="A43" s="17" t="n">
        <v>29</v>
      </c>
      <c r="B43" s="17" t="inlineStr">
        <is>
          <t>SPM-27-TC01</t>
        </is>
      </c>
      <c r="C43" s="17" t="inlineStr">
        <is>
          <t>My Events shows each of the organiser's events with its current status badge</t>
        </is>
      </c>
      <c r="D43" s="17" t="inlineStr">
        <is>
          <t>AC1, AC3</t>
        </is>
      </c>
      <c r="E43" s="17" t="inlineStr">
        <is>
          <t>Positive</t>
        </is>
      </c>
      <c r="F43" s="17" t="inlineStr">
        <is>
          <t>Test data freshly loaded: run `npm run fixtures:spm27` from the project folder just before this case.
Logged in as Hakim Zulkifli (hakim.zulkifli@bayuenergypa.com / password123), Event Organiser, Bayu Energy Partners.</t>
        </is>
      </c>
      <c r="G43" s="17" t="inlineStr">
        <is>
          <t>SPM27 Bayu Safety Briefing: Submitted | SPM27 Bayu Investor Day: Submitted | SPM27 Bayu Town Hall: Submitted | SPM27 Bayu Grid Workshop: Under review | SPM27 Bayu Contractor Briefing: Under review | SPM27 Bayu Supplier Day: Approved | SPM27 Bayu Leadership Retreat: Planning | SPM27 Bayu Annual Conference: Confirmed | SPM27 Bayu Graduate Induction: Completed | SPM27 Bayu Overnight Site Visit: Rejected | SPM27 Bayu Community Fair: Postponed | SPM27 Bayu Partner Lunch: Withdrawn | SPM27 Bayu Wind Farm Tour: Withdrawn | SPM27 Bayu Product Showcase: Cancelled</t>
        </is>
      </c>
      <c r="H43" s="17" t="inlineStr">
        <is>
          <t>1. Click 'My Events' in the sidebar</t>
        </is>
      </c>
      <c r="I43" s="17" t="inlineStr">
        <is>
          <t>Step 1: Each of the 14 SPM27 events shows a coloured status badge with exactly the label listed in Test data, so all 10 statuses appear: Submitted, Under review, Approved, Planning, Confirmed, Completed, Rejected, Postponed, Withdrawn, Cancelled (some on more than one event). No status is shown as a raw value such as 'under_review'. Only Bayu Energy Partners events are listed; no other company's events appear.</t>
        </is>
      </c>
      <c r="J43" s="7" t="n"/>
      <c r="K43" s="13" t="n"/>
      <c r="L43" s="7" t="n"/>
    </row>
    <row r="44" ht="288" customHeight="1" s="21">
      <c r="A44" s="17" t="n">
        <v>30</v>
      </c>
      <c r="B44" s="17" t="inlineStr">
        <is>
          <t>SPM-27-TC02</t>
        </is>
      </c>
      <c r="C44" s="17" t="inlineStr">
        <is>
          <t>Event page status changes after another role acts on the event</t>
        </is>
      </c>
      <c r="D44" s="17" t="inlineStr">
        <is>
          <t>AC1, AC2</t>
        </is>
      </c>
      <c r="E44" s="17" t="inlineStr">
        <is>
          <t>Positive</t>
        </is>
      </c>
      <c r="F44" s="17" t="inlineStr">
        <is>
          <t>READ FIRST: 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
Test data freshly loaded: run `npm run fixtures:spm27` from the project folder before and after this case.
'SPM27 Bayu Investor Day' is Submitted with no coordinator.
Accounts: Hakim Zulkifli (hakim.zulkifli@bayuenergypa.com / password123), Event Organiser; Grace Lim (grace.lim@connectsphere.com / password123), Event Operations Manager.</t>
        </is>
      </c>
      <c r="G44" s="17" t="inlineStr">
        <is>
          <t>Event: SPM27 Bayu Investor Day | Coordinator: Hui Shan Neo</t>
        </is>
      </c>
      <c r="H44" s="17" t="inlineStr">
        <is>
          <t>1. Log in as Hakim Zulkifli
2. Click 'My Events' in the sidebar
3. Open 'SPM27 Bayu Investor Day'
4. Log out and log in as Grace Lim
5. Click 'Assignments' in the sidebar
6. On the 'SPM27 Bayu Investor Day' row, choose 'Hui Shan Neo' in 'Assign to'
7. Click 'Assign'
8. Log out and log in as Hakim Zulkifli
9. Click 'My Events' in the sidebar
10. Open 'SPM27 Bayu Investor Day'</t>
        </is>
      </c>
      <c r="I44" s="17" t="inlineStr">
        <is>
          <t>Step 3: The badge under the title and the Details 'Status' row both read 'Submitted'.
Step 10: The badge and the Details 'Status' row both read 'Under review'.</t>
        </is>
      </c>
      <c r="J44" s="7" t="n"/>
      <c r="K44" s="13" t="n"/>
      <c r="L44" s="7" t="n"/>
    </row>
    <row r="45" ht="20" customHeight="1" s="21">
      <c r="A45" s="6" t="inlineStr">
        <is>
          <t>SPM-31  View Event Information  -  no fixture script: uses the base seed data</t>
        </is>
      </c>
      <c r="B45" s="16" t="n"/>
      <c r="C45" s="16" t="n"/>
      <c r="D45" s="16" t="n"/>
      <c r="E45" s="16" t="n"/>
      <c r="F45" s="16" t="n"/>
      <c r="G45" s="16" t="n"/>
      <c r="H45" s="16" t="n"/>
      <c r="I45" s="16" t="n"/>
      <c r="J45" s="16" t="n"/>
      <c r="K45" s="16" t="n"/>
      <c r="L45" s="16" t="n"/>
    </row>
    <row r="46" ht="93" customHeight="1" s="21">
      <c r="A46" s="17" t="n">
        <v>31</v>
      </c>
      <c r="B46" s="17" t="inlineStr">
        <is>
          <t>SPM-31-TC03</t>
        </is>
      </c>
      <c r="C46" s="17" t="inlineStr">
        <is>
          <t>Opening a draft from 'My Events' goes straight to the draft editor, never the Overview tab</t>
        </is>
      </c>
      <c r="D46" s="17" t="inlineStr">
        <is>
          <t>AC1</t>
        </is>
      </c>
      <c r="E46" s="17" t="inlineStr">
        <is>
          <t>Positive</t>
        </is>
      </c>
      <c r="F46" s="17" t="inlineStr">
        <is>
          <t>Logged in as Rachel Ng (rachel.ng@meridianfina.com / password123), Event Organiser.
'Q1 Investor Update (rough idea)' is her own Draft event with description 'Still checking dates with the exec team.' and no category, schedule, or attendance set yet.</t>
        </is>
      </c>
      <c r="G46" s="17" t="inlineStr">
        <is>
          <t>Event: Q1 Investor Update (rough idea) (Draft, owned by Rachel Ng)</t>
        </is>
      </c>
      <c r="H46" s="17" t="inlineStr">
        <is>
          <t>1. Open 'My Events'
2. Click the row for 'Q1 Investor Update (rough idea)' under 'Drafts — not yet submitted'</t>
        </is>
      </c>
      <c r="I46" s="17" t="inlineStr">
        <is>
          <t>She is taken straight to the 'Edit draft' page, not an Overview tab.
No Details card, no Organiser/Company/Coordinator rows, and no draft info banner appear anywhere — a draft has no Overview view at all; it is only ever edited, never overviewed</t>
        </is>
      </c>
      <c r="J46" s="7" t="n"/>
      <c r="K46" s="13" t="n"/>
      <c r="L46" s="7" t="n"/>
    </row>
    <row r="47" ht="20" customHeight="1" s="21">
      <c r="A47" s="6" t="inlineStr">
        <is>
          <t>SPM-62  Update Event Information  -  run npm run fixtures:spm62 before its first case</t>
        </is>
      </c>
      <c r="B47" s="16" t="n"/>
      <c r="C47" s="16" t="n"/>
      <c r="D47" s="16" t="n"/>
      <c r="E47" s="16" t="n"/>
      <c r="F47" s="16" t="n"/>
      <c r="G47" s="16" t="n"/>
      <c r="H47" s="16" t="n"/>
      <c r="I47" s="16" t="n"/>
      <c r="J47" s="16" t="n"/>
      <c r="K47" s="16" t="n"/>
      <c r="L47" s="16" t="n"/>
    </row>
    <row r="48" ht="198" customHeight="1" s="21">
      <c r="A48" s="17" t="n">
        <v>32</v>
      </c>
      <c r="B48" s="17" t="inlineStr">
        <is>
          <t>SPM-62-TC01</t>
        </is>
      </c>
      <c r="C48" s="17" t="inlineStr">
        <is>
          <t>The edit form opens with the event's current information and only the fields a coordinator may change</t>
        </is>
      </c>
      <c r="D48" s="17" t="inlineStr">
        <is>
          <t>AC1, AC3</t>
        </is>
      </c>
      <c r="E48" s="17" t="inlineStr">
        <is>
          <t>Positive</t>
        </is>
      </c>
      <c r="F48" s="17" t="inlineStr">
        <is>
          <t>Test data loaded: `npm run fixtures:spm62` has been run from the project folder since the last full `npx prisma db seed` (it only touches the 'SPM62 …' events, never anyone else's data).
Logged in as Daniel Tan (daniel.tan@connectsphere.com / password123), the coordinator assigned to every 'SPM62 …' event.
Nothing is saved in this case.</t>
        </is>
      </c>
      <c r="G48" s="17" t="inlineStr">
        <is>
          <t>Event: SPM62 Harbour Leadership Summit | Status: Planning | When: 17 Mar 2027, 09:00–17:00 | Expected attendance: 80 | Layout: Theatre | Required facility: Fixed ceiling projector</t>
        </is>
      </c>
      <c r="H48" s="17" t="inlineStr">
        <is>
          <t>1. Click 'All Events' in the sidebar and open 'SPM62 Harbour Leadership Summit'
2. Click 'Edit event information'
3. Click 'Cancel'</t>
        </is>
      </c>
      <c r="I48" s="17" t="inlineStr">
        <is>
          <t>Step 1: The event page shows the 'Planning' status badge and an 'Edit event information' button at the top of the page.
Step 2: The 'Edit event information' page opens with the 'Planning' status badge. The form is filled in with the event's current information: Event name 'SPM62 Harbour Leadership Summit', Starts at 17 Mar 2027 09:00, Ends at 17 Mar 2027 17:00, Expected attendance 80, Preferred room layout 'Theatre', and 'Fixed ceiling projector' ticked under 'The venue must have'. There are no fields for Organiser, Company, Coordinator or Status, no Registration section, and no equipment rows: an info message reads 'Equipment is changed on the Equipment tab.' The buttons are 'Save changes' and 'Cancel'. No amber warning is shown.
Step 3: The event page opens again with the 'Planning' status badge and the same details as in step 1.</t>
        </is>
      </c>
      <c r="J48" s="7" t="n"/>
      <c r="K48" s="13" t="n"/>
      <c r="L48" s="7" t="n"/>
    </row>
    <row r="49" ht="198" customHeight="1" s="21">
      <c r="A49" s="17" t="n">
        <v>33</v>
      </c>
      <c r="B49" s="17" t="inlineStr">
        <is>
          <t>SPM-62-TC03</t>
        </is>
      </c>
      <c r="C49" s="17" t="inlineStr">
        <is>
          <t>An ordinary edit to an Approved event is saved and shown on the event, with nothing flagged</t>
        </is>
      </c>
      <c r="D49" s="17" t="inlineStr">
        <is>
          <t>AC1, AC2, AC7</t>
        </is>
      </c>
      <c r="E49" s="17" t="inlineStr">
        <is>
          <t>Positive</t>
        </is>
      </c>
      <c r="F49" s="17" t="inlineStr">
        <is>
          <t>Test data loaded: `npm run fixtures:spm62` has been run from the project folder since the last full `npx prisma db seed` (it only touches the 'SPM62 …' events, never anyone else's data).
Before: run `npm run fixtures:spm62` so 'SPM62 Bayu Energy Outlook' is back in its starting state.
Logged in as Daniel Tan (daniel.tan@connectsphere.com / password123), the coordinator assigned to every 'SPM62 …' event.
After: run `npm run fixtures:spm62` so the next tester starts from the same state (never `npx prisma db seed`, which wipes everyone's data).</t>
        </is>
      </c>
      <c r="G49" s="17" t="inlineStr">
        <is>
          <t>Event: SPM62 Bayu Energy Outlook | Status: Approved | No venue booking, equipment or registrations | Purpose: Brief clients on the 2027 regional energy outlook | Description: Keynote, market briefing and Q&amp;A | Anything else about the space: Reserve the front row for speakers</t>
        </is>
      </c>
      <c r="H49" s="17" t="inlineStr">
        <is>
          <t>1. Click 'All Events' in the sidebar and open 'SPM62 Bayu Energy Outlook'
2. Click 'Edit event information'
3. Change 'Purpose' to 'Brief clients on the 2027 regional energy outlook'
4. Change 'Description' to 'Keynote, market briefing and Q&amp;A'
5. Change 'Anything else about the space' to 'Reserve the front row for speakers'
6. Click 'Save changes'
7. Click 'Back to event'
8. Click 'Edit event information'</t>
        </is>
      </c>
      <c r="I49" s="17" t="inlineStr">
        <is>
          <t>Step 1: The event page shows the 'Approved' status badge.
Step 5: No amber warning has appeared at any point while editing.
Step 6: No dialog appears. The form is replaced by a green alert 'Event information updated.' and a 'Back to event' link. No 'Flagged for review' alert is shown.
Step 7: The event page shows the subtitle 'Brief clients on the 2027 regional energy outlook' under the title, Description 'Keynote, market briefing and Q&amp;A' in the Details card, and Special requirements 'Reserve the front row for speakers' in the Venue requirements card. The status badge still reads 'Approved' (editing information does not begin planning).
Step 8: The form shows the saved Purpose, Description and 'Anything else about the space' values.</t>
        </is>
      </c>
      <c r="J49" s="7" t="n"/>
      <c r="K49" s="13" t="n"/>
      <c r="L49" s="7" t="n"/>
    </row>
    <row r="50" ht="288" customHeight="1" s="21">
      <c r="A50" s="17" t="n">
        <v>34</v>
      </c>
      <c r="B50" s="17" t="inlineStr">
        <is>
          <t>SPM-62-TC05</t>
        </is>
      </c>
      <c r="C50" s="17" t="inlineStr">
        <is>
          <t>A date change on a Planning event flags its venue booking, equipment and registrations without changing them</t>
        </is>
      </c>
      <c r="D50" s="17" t="inlineStr">
        <is>
          <t>AC2, AC4, AC5</t>
        </is>
      </c>
      <c r="E50" s="17" t="inlineStr">
        <is>
          <t>Positive</t>
        </is>
      </c>
      <c r="F50" s="17" t="inlineStr">
        <is>
          <t>THIS RUN: SPM-62-TC06 is not selected. Skip it, and run the fixture script once the selected cases that follow on from this one are done.
Test data loaded: `npm run fixtures:spm62` has been run from the project folder since the last full `npx prisma db seed` (it only touches the 'SPM62 …' events, never anyone else's data).
Before: run `npm run fixtures:spm62` so 'SPM62 Harbour Leadership Summit' is back in its starting state.
Logged in as Daniel Tan (daniel.tan@connectsphere.com / password123), the coordinator assigned to every 'SPM62 …' event.
After: if you are running SPM-62-TC06 next, go straight to it - it checks this change as the organiser. Otherwise run `npm run fixtures:spm62` so the next tester starts from the same state (never `npx prisma db seed`, which wipes everyone's data).</t>
        </is>
      </c>
      <c r="G50" s="17" t="inlineStr">
        <is>
          <t>Event: SPM62 Harbour Leadership Summit | Status: Planning | When: 17 Mar 2027, 09:00–17:00 -&gt; 24 Mar 2027, 09:00–17:00 | Approved booking: Orchard Seminar Room (ORC-SEM) on 17 Mar 2027 | Equipment: 4K Portable Projector x 2, Reserved | Registrations: 12 attendees registered</t>
        </is>
      </c>
      <c r="H50" s="17" t="inlineStr">
        <is>
          <t>1. Click 'All Events' in the sidebar and open 'SPM62 Harbour Leadership Summit'
2. Click 'Edit event information'
3. Change 'Starts at' to 24 Mar 2027, 09:00
4. Change 'Ends at' to 24 Mar 2027, 17:00
5. Click 'Save changes'
6. Click 'Back to event'
7. Click the 'Venue' tab
8. Click the 'Equipment' tab</t>
        </is>
      </c>
      <c r="I50" s="17" t="inlineStr">
        <is>
          <t>Step 1: The event page shows the 'Planning' status badge, 'When' 17 Mar 2027, 09:00–17:00, and Venue 'Orchard Seminar Room (ORC-SEM)'.
Step 5: No dialog appears. The form is replaced by a green alert 'Event information updated.' and a 'Back to event' link. Below it, an amber alert 'Flagged for review' reads 'These were arranged for the event's earlier details and have not been changed.' and lists three lines: 'Venue booking: Orchard Seminar Room (ORC-SEM) – the date or time changed'; 'Equipment: 4K Portable Projector × 2 – the date or time changed'; 'Registrations: 12 attendees – the date or time changed'.
Step 6: The Details card shows 'When' '24 Mar 2027, 09:00–17:00' and still shows Venue 'Orchard Seminar Room (ORC-SEM)'. The status badge still reads 'Planning'.
Step 7: The booking for Orchard Seminar Room (ORC-SEM) is still shown on 17 Mar 2027 with the 'Approved' badge. It has not been moved to 24 Mar 2027 or cancelled.
Step 8: '4K Portable Projector', quantity 2, is still listed with the 'Reserved' badge.</t>
        </is>
      </c>
      <c r="J50" s="7" t="n"/>
      <c r="K50" s="13" t="n"/>
      <c r="L50" s="7" t="n"/>
    </row>
    <row r="51" ht="228" customHeight="1" s="21">
      <c r="A51" s="17" t="n">
        <v>35</v>
      </c>
      <c r="B51" s="17" t="inlineStr">
        <is>
          <t>SPM-62-TC09</t>
        </is>
      </c>
      <c r="C51" s="17" t="inlineStr">
        <is>
          <t>A date change on a Confirmed event moves it back to Planning and flags its arrangements</t>
        </is>
      </c>
      <c r="D51" s="17" t="inlineStr">
        <is>
          <t>AC2, AC5, AC6</t>
        </is>
      </c>
      <c r="E51" s="17" t="inlineStr">
        <is>
          <t>Positive</t>
        </is>
      </c>
      <c r="F51" s="17" t="inlineStr">
        <is>
          <t>Test data loaded: `npm run fixtures:spm62` has been run from the project folder since the last full `npx prisma db seed` (it only touches the 'SPM62 …' events, never anyone else's data).
Before: run `npm run fixtures:spm62` so 'SPM62 Straits Pharmacy Forum' is back to Confirmed.
Logged in as Daniel Tan (daniel.tan@connectsphere.com / password123), the coordinator assigned to every 'SPM62 …' event.
After: run `npm run fixtures:spm62` so the next tester starts from the same state (never `npx prisma db seed`, which wipes everyone's data).</t>
        </is>
      </c>
      <c r="G51" s="17" t="inlineStr">
        <is>
          <t>Event: SPM62 Straits Pharmacy Forum | Status: Confirmed | When: 9 Jun 2027, 09:00–17:00 -&gt; 16 Jun 2027, 09:00–17:00 | Approved booking: Marina Auditorium (MAR-AUD) | Equipment: Powered Speaker x 2, Reserved | Registrations: 20 attendees registered</t>
        </is>
      </c>
      <c r="H51" s="17" t="inlineStr">
        <is>
          <t>1. Click 'All Events' in the sidebar and open 'SPM62 Straits Pharmacy Forum'
2. Click 'Edit event information'
3. Change 'Starts at' to 16 Jun 2027, 09:00
4. Change 'Ends at' to 16 Jun 2027, 17:00
5. Click 'Save changes'
6. Click 'Save and move to Planning'
7. Click 'Back to event'
8. Click 'All Events' in the sidebar</t>
        </is>
      </c>
      <c r="I51" s="17" t="inlineStr">
        <is>
          <t>Step 1: The event page shows the 'Confirmed' status badge, and there is no 'Confirm event' button.
Step 5: The 'Move this event back to Planning?' dialog appears.
Step 6: The dialog closes. The form is replaced by a green alert 'Event information updated. The event is back in Planning and needs to be confirmed again.' and a 'Back to event' link. Below it, an amber alert 'Flagged for review' reads 'These were arranged for the event's earlier details and have not been changed.' and lists: 'Venue booking: Marina Auditorium (MAR-AUD) – the date or time changed'; 'Equipment: Powered Speaker × 2 – the date or time changed'; 'Registrations: 20 attendees – the date or time changed'.
Step 7: The event page shows the 'Planning' status badge, 'When' '16 Jun 2027, 09:00–17:00' and Status 'Planning' in the Details card, and a 'Confirm event' button at the top of the page.
Step 8: The 'SPM62 Straits Pharmacy Forum' row shows 'Planning' in the Status column.</t>
        </is>
      </c>
      <c r="J51" s="7" t="n"/>
      <c r="K51" s="13" t="n"/>
      <c r="L51" s="7" t="n"/>
    </row>
    <row r="52" ht="20" customHeight="1" s="21">
      <c r="A52" s="6" t="inlineStr">
        <is>
          <t>SPM-85  Safety Officer Role and Access  -  run npm run fixtures:spm85 before its first case</t>
        </is>
      </c>
      <c r="B52" s="16" t="n"/>
      <c r="C52" s="16" t="n"/>
      <c r="D52" s="16" t="n"/>
      <c r="E52" s="16" t="n"/>
      <c r="F52" s="16" t="n"/>
      <c r="G52" s="16" t="n"/>
      <c r="H52" s="16" t="n"/>
      <c r="I52" s="16" t="n"/>
      <c r="J52" s="16" t="n"/>
      <c r="K52" s="16" t="n"/>
      <c r="L52" s="16" t="n"/>
    </row>
    <row r="53" ht="63" customHeight="1" s="21">
      <c r="A53" s="17" t="n">
        <v>36</v>
      </c>
      <c r="B53" s="17" t="inlineStr">
        <is>
          <t>SPM-85-TC01</t>
        </is>
      </c>
      <c r="C53" s="17" t="inlineStr">
        <is>
          <t>A Safety Officer can log in and is shown as a Safety Officer</t>
        </is>
      </c>
      <c r="D53" s="17" t="inlineStr">
        <is>
          <t>AC1</t>
        </is>
      </c>
      <c r="E53" s="17" t="inlineStr">
        <is>
          <t>Positive</t>
        </is>
      </c>
      <c r="F53" s="17" t="inlineStr">
        <is>
          <t>npm run fixtures:spm85 has been run (it creates the Safety Officer account Hana Yusof without reseeding). Logged out.</t>
        </is>
      </c>
      <c r="G53" s="17" t="inlineStr">
        <is>
          <t>Email: hana.yusof@connectsphere.com
Password: password123
Role: Safety Officer</t>
        </is>
      </c>
      <c r="H53" s="17" t="inlineStr">
        <is>
          <t>1. Open the Log in page
2. Type hana.yusof@connectsphere.com in Email
3. Type password123 in Password
4. Click 'Log in'</t>
        </is>
      </c>
      <c r="I53" s="17" t="inlineStr">
        <is>
          <t>Step 4: The Dashboard opens. The account menu at the top shows 'Hana Yusof' with the role 'Safety Officer' underneath.</t>
        </is>
      </c>
      <c r="J53" s="7" t="n"/>
      <c r="K53" s="13" t="n"/>
      <c r="L53" s="7" t="n"/>
    </row>
    <row r="54" ht="93" customHeight="1" s="21">
      <c r="A54" s="17" t="n">
        <v>37</v>
      </c>
      <c r="B54" s="17" t="inlineStr">
        <is>
          <t>SPM-85-TC03</t>
        </is>
      </c>
      <c r="C54" s="17" t="inlineStr">
        <is>
          <t>A Safety Officer's sidebar shows only Dashboard, Safety Checks, All Events and Notifications</t>
        </is>
      </c>
      <c r="D54" s="17" t="inlineStr">
        <is>
          <t>AC2</t>
        </is>
      </c>
      <c r="E54" s="17" t="inlineStr">
        <is>
          <t>Positive</t>
        </is>
      </c>
      <c r="F54" s="17" t="inlineStr">
        <is>
          <t>npm run fixtures:spm85 has been run. Logged in as Hana Yusof (Safety Officer).</t>
        </is>
      </c>
      <c r="G54" s="17" t="inlineStr">
        <is>
          <t>Safety Officer: hana.yusof@connectsphere.com
Event: SPM85 Marina Networking Night (Planning)</t>
        </is>
      </c>
      <c r="H54" s="17" t="inlineStr">
        <is>
          <t>1. Look at the sidebar
2. Click 'All Events' in the sidebar</t>
        </is>
      </c>
      <c r="I54" s="17" t="inlineStr">
        <is>
          <t>Step 1: The sidebar lists exactly 'Dashboard', 'Safety Checks', 'All Events' and 'Notifications'. 'Review Queue', 'Assignments', 'Venues', 'Booking Requests', 'Equipment', 'Equipment Requests', 'My Events', 'Browse Events' and 'My Registrations' are not shown.
Step 2: The All Events list opens and includes 'SPM85 Marina Networking Night' with the status 'Planning'.</t>
        </is>
      </c>
      <c r="J54" s="7" t="n"/>
      <c r="K54" s="13" t="n"/>
      <c r="L54" s="7" t="n"/>
    </row>
    <row r="55" ht="93" customHeight="1" s="21">
      <c r="A55" s="17" t="n">
        <v>38</v>
      </c>
      <c r="B55" s="17" t="inlineStr">
        <is>
          <t>SPM-85-TC06</t>
        </is>
      </c>
      <c r="C55" s="17" t="inlineStr">
        <is>
          <t>A Safety Officer sees the event's equipment arrangements read-only</t>
        </is>
      </c>
      <c r="D55" s="17" t="inlineStr">
        <is>
          <t>AC3, AC4</t>
        </is>
      </c>
      <c r="E55" s="17" t="inlineStr">
        <is>
          <t>Positive</t>
        </is>
      </c>
      <c r="F55" s="17" t="inlineStr">
        <is>
          <t>npm run fixtures:spm85 has been run. Logged in as Hana Yusof (Safety Officer).</t>
        </is>
      </c>
      <c r="G55" s="17" t="inlineStr">
        <is>
          <t>Event: SPM85 Harbour Safety Forum
Equipment: Handheld Wireless Mic x4 (Main programme, Reserved), Wheelchair Access Ramp x1 (Main programme, Reserved)</t>
        </is>
      </c>
      <c r="H55" s="17" t="inlineStr">
        <is>
          <t>1. Click 'Safety Checks' in the sidebar
2. Click 'SPM85 Harbour Safety Forum'
3. Click the 'Equipment' tab</t>
        </is>
      </c>
      <c r="I55" s="17" t="inlineStr">
        <is>
          <t>Step 2: The tab bar shows only 'Overview' and 'Equipment'.
Step 3: The Equipment requirements page lists 'Handheld Wireless Mic' (quantity 4) and 'Wheelchair Access Ramp' (quantity 1), each with the status 'Reserved'. There is no 'Add equipment' section and no 'Remove' button on either row.</t>
        </is>
      </c>
      <c r="J55" s="7" t="n"/>
      <c r="K55" s="13" t="n"/>
      <c r="L55" s="7" t="n"/>
    </row>
    <row r="56" ht="20" customHeight="1" s="21">
      <c r="A56" s="6" t="inlineStr">
        <is>
          <t>SPM-69  Release or Adjust Equipment Reservation  -  run npm run fixtures:spm69 before its first case</t>
        </is>
      </c>
      <c r="B56" s="16" t="n"/>
      <c r="C56" s="16" t="n"/>
      <c r="D56" s="16" t="n"/>
      <c r="E56" s="16" t="n"/>
      <c r="F56" s="16" t="n"/>
      <c r="G56" s="16" t="n"/>
      <c r="H56" s="16" t="n"/>
      <c r="I56" s="16" t="n"/>
      <c r="J56" s="16" t="n"/>
      <c r="K56" s="16" t="n"/>
      <c r="L56" s="16" t="n"/>
    </row>
    <row r="57" ht="318" customHeight="1" s="21">
      <c r="A57" s="17" t="n">
        <v>39</v>
      </c>
      <c r="B57" s="17" t="inlineStr">
        <is>
          <t>SPM-69-TC01</t>
        </is>
      </c>
      <c r="C57" s="17" t="inlineStr">
        <is>
          <t>Technical Support releases a reservation with a reason after first cancelling, the line is marked Released, and its units become available to an overlapping event</t>
        </is>
      </c>
      <c r="D57" s="17" t="inlineStr">
        <is>
          <t>AC1, AC4, AC5, AC8</t>
        </is>
      </c>
      <c r="E57" s="17" t="inlineStr">
        <is>
          <t>Positive</t>
        </is>
      </c>
      <c r="F57" s="17" t="inlineStr">
        <is>
          <t>THIS RUN: SPM-69-TC02 is not selected. Skip it, and run the fixture script once the selected cases that follow on from this one are done.
Both events are on 13 Jun 2028 and use Wireless Presenter (4 in stock):
- SPM69 Release Rehearsal: 3 requested, 3 reserved (Status 'Reserved')
- SPM69 Overlap Seminar: 3 requested, nothing reserved
Data: run `npm run fixtures:spm69` first. Go straight on to SPM-69-TC02, and run the script again after it.
Logged in as Technical Support Staff (vikram.nair@connectsphere.com, password123).</t>
        </is>
      </c>
      <c r="G57" s="17" t="inlineStr">
        <is>
          <t>Released: SPM69 Release Rehearsal, Wireless Presenter (3 reserved)
Reason: Client is bringing their own presenters
Overlapping event: SPM69 Overlap Seminar, Wireless Presenter (3 requested)</t>
        </is>
      </c>
      <c r="H57" s="17" t="inlineStr">
        <is>
          <t>1. Click 'Equipment Requests' in the sidebar
2. Open the equipment request for the SPM69 Overlap Seminar event
3. Click 'Equipment Requests' in the breadcrumb
4. Open the equipment request for the SPM69 Release Rehearsal event
5. On the Wireless Presenter line, click 'Release'
6. In the dialog, click 'Cancel'
7. On the Wireless Presenter line, click 'Release' again
8. In the dialog, click 'Release' without giving a reason
9. In 'Reason for releasing', enter 'Client is bringing their own presenters'
10. Click 'Release'
11. Click 'Equipment Requests' in the breadcrumb
12. Open the equipment request for the SPM69 Overlap Seminar event</t>
        </is>
      </c>
      <c r="I57" s="17" t="inlineStr">
        <is>
          <t>Step 2: The Wireless Presenter line reads '4 total − 0 out of service − 3 reserved elsewhere = 1 available for these dates' and '3 requested, 1 available.' Its Availability chip shows 'Partial'.
Step 4: The Wireless Presenter line shows Requested 3, Reserved 3 and Status 'Reserved', with 'Adjust' and 'Release' buttons and no 'Reserve' button.
Step 5: A dialog 'Release this reservation?' appears, saying 'This frees the 3 Wireless Presenter reserved for SPM69 Release Rehearsal for other events. The event's Coordinator is told.', with an empty, required 'Reason for releasing' field.
Step 6: The dialog closes. The line still shows Reserved 3 and Status 'Reserved'.
Step 8: 'Give a reason for releasing this reservation.' appears under 'Reason for releasing'. The dialog stays open and nothing is released.
Step 10: The dialog closes and 'Reservation released.' appears on the line. Its Status chip shows 'Released', the Reserved column shows '—', the line says 'Released — 3 were reserved.' and 'Technical Support notes: Client is bringing their own presenters'. 'Adjust' and 'Release' are no longer offered; 'Reserve' is.
Step 12: The Wireless Presenter line now reads '4 total − 0 out of service − 0 reserved elsewhere = 4 available for these dates' and its Availability chip shows 'Available'.</t>
        </is>
      </c>
      <c r="J57" s="7" t="n"/>
      <c r="K57" s="13" t="n"/>
      <c r="L57" s="7" t="n"/>
    </row>
    <row r="58" ht="243" customHeight="1" s="21">
      <c r="A58" s="17" t="n">
        <v>40</v>
      </c>
      <c r="B58" s="17" t="inlineStr">
        <is>
          <t>SPM-69-TC04</t>
        </is>
      </c>
      <c r="C58" s="17" t="inlineStr">
        <is>
          <t>Technical Support reduces a reservation, the line becomes Partially fulfilled, the freed units show as available to an overlapping event, and the Coordinator is notified</t>
        </is>
      </c>
      <c r="D58" s="17" t="inlineStr">
        <is>
          <t>AC2, AC4, AC5, AC6</t>
        </is>
      </c>
      <c r="E58" s="17" t="inlineStr">
        <is>
          <t>Positive</t>
        </is>
      </c>
      <c r="F58" s="17" t="inlineStr">
        <is>
          <t>Both events are on 20 Jun 2028 and use Confidence Monitor (4 in stock):
- SPM69 Reduce Workshop: 4 requested, 4 reserved (Status 'Reserved')
- SPM69 Neighbour Briefing: 2 requested, nothing reserved
Data: run `npm run fixtures:spm69` before and after this case.
Logged in as Technical Support Staff (vikram.nair@connectsphere.com, password123).</t>
        </is>
      </c>
      <c r="G58" s="17" t="inlineStr">
        <is>
          <t>Event: SPM69 Reduce Workshop
Reserved quantity: 4 -&gt; 2</t>
        </is>
      </c>
      <c r="H58" s="17" t="inlineStr">
        <is>
          <t>1. Click 'Equipment Requests' in the sidebar
2. Open the equipment request for the SPM69 Neighbour Briefing event
3. Click 'Equipment Requests' in the breadcrumb
4. Open the equipment request for the SPM69 Reduce Workshop event
5. On the Confidence Monitor line, click 'Adjust'
6. In 'Reserved quantity', enter 2
7. Click 'Save'
8. Click 'Equipment Requests' in the breadcrumb
9. Open the equipment request for the SPM69 Neighbour Briefing event
10. Click 'Log out'
11. Log in as the Event Coordinator (daniel.tan@connectsphere.com, password123)
12. Click 'Notifications' in the sidebar</t>
        </is>
      </c>
      <c r="I58" s="17" t="inlineStr">
        <is>
          <t>Step 2: The Confidence Monitor line reads '4 total − 0 out of service − 4 reserved elsewhere = 0 available for these dates' and 'Held by SPM69 Reduce Workshop (4 units) until 21 Jun.' Its Availability chip shows 'None available'.
Step 5: A form opens on the line with a 'Reserved quantity' field showing 4, and 'Save' and 'Cancel' buttons.
Step 7: The form closes and 'Reservation changed: 2 reserved.' appears on the line. Reserved shows 2 and the Status chip shows 'Partially fulfilled'.
Step 9: The Confidence Monitor line now reads '4 total − 0 out of service − 2 reserved elsewhere = 2 available for these dates' and its Availability chip shows 'Available'.
Step 12: The list shows an unread notification 'Equipment reservation changed' reading 'Technical Support changed the Confidence Monitor reserved for SPM69 Reduce Workshop from 4 to 2.'</t>
        </is>
      </c>
      <c r="J58" s="7" t="n"/>
      <c r="K58" s="13" t="n"/>
      <c r="L58" s="7" t="n"/>
    </row>
    <row r="59" ht="213" customHeight="1" s="21">
      <c r="A59" s="17" t="n">
        <v>41</v>
      </c>
      <c r="B59" s="17" t="inlineStr">
        <is>
          <t>SPM-69-TC08</t>
        </is>
      </c>
      <c r="C59" s="17" t="inlineStr">
        <is>
          <t>A Coordinator's change to a reserved requirement sends it back to Technical Support as Requested, still showing what is reserved, without flagging it</t>
        </is>
      </c>
      <c r="D59" s="17" t="inlineStr">
        <is>
          <t>AC7</t>
        </is>
      </c>
      <c r="E59" s="17" t="inlineStr">
        <is>
          <t>Positive</t>
        </is>
      </c>
      <c r="F59" s="17" t="inlineStr">
        <is>
          <t>SPM69 Coordinator Change Expo (4 Jul 2028, Planning) has one line: Confidence Monitor, 2 requested, 2 reserved (Status 'Reserved'), technical requirements 'HDMI from the lectern'. Daniel Tan is its assigned Coordinator.
Data: run `npm run fixtures:spm69` first. Go straight on to SPM-69-TC09, and run the script again after it.
Logged out.</t>
        </is>
      </c>
      <c r="G59" s="17" t="inlineStr">
        <is>
          <t>Event: SPM69 Coordinator Change Expo
Quantity: 2 -&gt; 3</t>
        </is>
      </c>
      <c r="H59" s="17" t="inlineStr">
        <is>
          <t>1. Log in as the Event Coordinator (daniel.tan@connectsphere.com, password123)
2. Click 'All Events' in the sidebar
3. Open the SPM69 Coordinator Change Expo event
4. Click the 'Equipment' tab
5. On the Confidence Monitor row, change 'Quantity' to 3
6. Click 'Save'
7. Click 'Flagged Arrangements' in the sidebar
8. Click 'Log out'
9. Log in as Technical Support Staff (vikram.nair@connectsphere.com, password123)
10. Click 'Equipment Requests' in the sidebar
11. Open the equipment request for the SPM69 Coordinator Change Expo event</t>
        </is>
      </c>
      <c r="I59" s="17" t="inlineStr">
        <is>
          <t>Step 4: The Confidence Monitor row shows the status 'Reserved' and '2 reserved'.
Step 6: The row now shows the status 'Requested' and still '2 reserved'.
Step 7: SPM69 Coordinator Change Expo is not listed.
Step 11: The Confidence Monitor line shows Requested 3, Reserved 2 and Status 'Requested', with 'The Coordinator changed this requirement — 2 still reserved. Review it again.' and 'Technical requirements: HDMI from the lectern'. 'Adjust', 'Release' and 'Reserve' are offered.</t>
        </is>
      </c>
      <c r="J59" s="7" t="n"/>
      <c r="K59" s="13" t="n"/>
      <c r="L59" s="7" t="n"/>
    </row>
    <row r="60" ht="108" customHeight="1" s="21">
      <c r="A60" s="17" t="n">
        <v>42</v>
      </c>
      <c r="B60" s="17" t="inlineStr">
        <is>
          <t>SPM-69-TC09</t>
        </is>
      </c>
      <c r="C60" s="17" t="inlineStr">
        <is>
          <t>Technical Support reviews a sent-back requirement and adjusts the reservation to the new quantity, marking it Reserved again</t>
        </is>
      </c>
      <c r="D60" s="17" t="inlineStr">
        <is>
          <t>AC7, AC3, AC5</t>
        </is>
      </c>
      <c r="E60" s="17" t="inlineStr">
        <is>
          <t>Positive</t>
        </is>
      </c>
      <c r="F60" s="17" t="inlineStr">
        <is>
          <t>SPM-69-TC08 has just been run (SPM69 Coordinator Change Expo's Confidence Monitor line is back with Technical Support: 3 requested, 2 reserved, Status 'Requested'), and the tester is on its Equipment request page as Technical Support Staff.
Data: run `npm run fixtures:spm69` after this case.</t>
        </is>
      </c>
      <c r="G60" s="17" t="inlineStr">
        <is>
          <t>Reserved quantity: 2 -&gt; 3 (the Coordinator's new quantity)</t>
        </is>
      </c>
      <c r="H60" s="17" t="inlineStr">
        <is>
          <t>1. On the Confidence Monitor line, click 'Adjust'
2. In 'Reserved quantity', enter 3
3. Click 'Save'</t>
        </is>
      </c>
      <c r="I60" s="17" t="inlineStr">
        <is>
          <t>Step 1: A form opens with 'Reserved quantity' showing 2.
Step 3: The form closes and 'Reservation changed: 3 reserved.' appears on the line. Reserved shows 3, the Status chip shows 'Reserved', and 'The Coordinator changed this requirement' is no longer shown.</t>
        </is>
      </c>
      <c r="J60" s="7" t="n"/>
      <c r="K60" s="13" t="n"/>
      <c r="L60" s="7" t="n"/>
    </row>
  </sheetData>
  <conditionalFormatting sqref="J5:J60">
    <cfRule type="cellIs" priority="1" operator="equal" dxfId="0">
      <formula>"Pass"</formula>
    </cfRule>
    <cfRule type="cellIs" priority="2" operator="equal" dxfId="1">
      <formula>"Fail"</formula>
    </cfRule>
    <cfRule type="cellIs" priority="3" operator="equal" dxfId="2">
      <formula>"Changed by design"</formula>
    </cfRule>
    <cfRule type="cellIs" priority="4" operator="equal" dxfId="3">
      <formula>"Blocked"</formula>
    </cfRule>
  </conditionalFormatting>
  <dataValidations count="1">
    <dataValidation sqref="J5:J60" showDropDown="0" showInputMessage="0" showErrorMessage="0" allowBlank="1" type="list">
      <formula1>"Pass,Fail,Changed by design,Blocked"</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L54"/>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5" customWidth="1" style="21" min="1" max="1"/>
    <col width="15" customWidth="1" style="21" min="2" max="2"/>
    <col width="34" customWidth="1" style="21" min="3" max="3"/>
    <col width="10" customWidth="1" style="21" min="4" max="5"/>
    <col width="13" customWidth="1" style="21" min="5" max="5"/>
    <col width="46" customWidth="1" style="21" min="6" max="6"/>
    <col width="30" customWidth="1" style="21" min="7" max="7"/>
    <col width="58" customWidth="1" style="21" min="8" max="8"/>
    <col width="72" customWidth="1" style="21" min="9" max="9"/>
    <col width="18" customWidth="1" style="21" min="10" max="10"/>
    <col width="12" customWidth="1" style="21" min="11" max="11"/>
    <col width="34" customWidth="1" style="21" min="12" max="12"/>
    <col width="8.710000000000001" customWidth="1" style="21" min="13" max="26"/>
  </cols>
  <sheetData>
    <row r="1">
      <c r="A1" s="1" t="inlineStr">
        <is>
          <t>Jordan's cases: Review, planning, readiness, event outcomes and the waiting list</t>
        </is>
      </c>
    </row>
    <row r="2">
      <c r="A2" s="2" t="inlineStr">
        <is>
          <t>Run top to bottom. A blue row starts each story: run its fixture script first (never npx prisma db seed). READ FIRST at the top of Preconditions says what has changed since the case was written. IDs ending in -R were rewritten in the Sprint 3 run and are reused here. Fill in the yellow Result, Date tested and Notes cells.</t>
        </is>
      </c>
    </row>
    <row r="4">
      <c r="A4" s="3" t="inlineStr">
        <is>
          <t>#</t>
        </is>
      </c>
      <c r="B4" s="3" t="inlineStr">
        <is>
          <t>Test case ID</t>
        </is>
      </c>
      <c r="C4" s="3" t="inlineStr">
        <is>
          <t>Title</t>
        </is>
      </c>
      <c r="D4" s="3" t="inlineStr">
        <is>
          <t>Linked AC</t>
        </is>
      </c>
      <c r="E4" s="3" t="inlineStr">
        <is>
          <t>Type</t>
        </is>
      </c>
      <c r="F4" s="3" t="inlineStr">
        <is>
          <t>Preconditions</t>
        </is>
      </c>
      <c r="G4" s="3" t="inlineStr">
        <is>
          <t>Test data</t>
        </is>
      </c>
      <c r="H4" s="3" t="inlineStr">
        <is>
          <t>Steps</t>
        </is>
      </c>
      <c r="I4" s="3" t="inlineStr">
        <is>
          <t>Expected results</t>
        </is>
      </c>
      <c r="J4" s="3" t="inlineStr">
        <is>
          <t>Result</t>
        </is>
      </c>
      <c r="K4" s="3" t="inlineStr">
        <is>
          <t>Date tested</t>
        </is>
      </c>
      <c r="L4" s="3" t="inlineStr">
        <is>
          <t>Notes / bug key</t>
        </is>
      </c>
    </row>
    <row r="5" ht="20" customHeight="1" s="21">
      <c r="A5" s="6" t="inlineStr">
        <is>
          <t>SPM-28  Review Event Request  -  run npm run fixtures:spm28 before its first case</t>
        </is>
      </c>
      <c r="B5" s="16" t="n"/>
      <c r="C5" s="16" t="n"/>
      <c r="D5" s="16" t="n"/>
      <c r="E5" s="16" t="n"/>
      <c r="F5" s="16" t="n"/>
      <c r="G5" s="16" t="n"/>
      <c r="H5" s="16" t="n"/>
      <c r="I5" s="16" t="n"/>
      <c r="J5" s="16" t="n"/>
      <c r="K5" s="16" t="n"/>
      <c r="L5" s="16" t="n"/>
    </row>
    <row r="6" ht="153" customHeight="1" s="21">
      <c r="A6" s="17" t="n">
        <v>1</v>
      </c>
      <c r="B6" s="17" t="inlineStr">
        <is>
          <t>SPM-28-TC01</t>
        </is>
      </c>
      <c r="C6" s="17" t="inlineStr">
        <is>
          <t>Review Queue lists only the Under review events assigned to the logged-in coordinator</t>
        </is>
      </c>
      <c r="D6" s="17" t="inlineStr">
        <is>
          <t>AC1</t>
        </is>
      </c>
      <c r="E6" s="17" t="inlineStr">
        <is>
          <t>Positive</t>
        </is>
      </c>
      <c r="F6" s="17" t="inlineStr">
        <is>
          <t>Test data loaded: `npm run fixtures:spm28` has been run from the project folder since the last full `npx prisma db seed` (it only touches the 'SPM28 …' events, EVT-000124 to EVT-000130, never anyone else's data).
 Logged in as Daniel Tan (daniel.tan@connectsphere.com / password123), Event Coordinator.</t>
        </is>
      </c>
      <c r="G6" s="17" t="inlineStr">
        <is>
          <t>Must appear (Under review, coordinator Daniel Tan): SPM28 Nusantara Product Launch (EVT-000124), SPM28 Harbourline Client Seminar (EVT-000125) | Must not appear: SPM28 Kirana Regional Offsite (EVT-000126, coordinator Priya Raj), SPM28 Straits Journal Club (EVT-000127, coordinator Joel Fernandez)</t>
        </is>
      </c>
      <c r="H6" s="17" t="inlineStr">
        <is>
          <t>1. Click 'Review Queue' in the sidebar</t>
        </is>
      </c>
      <c r="I6" s="17" t="inlineStr">
        <is>
          <t>Step 1: The Review Queue page lists 'SPM28 Nusantara Product Launch' (client 'Nusantara Tech Labs', 17 Mar 2027, 'Under review' badge) and 'SPM28 Harbourline Client Seminar'. Other Under review events assigned to Daniel Tan may also appear; only the SPM28 events are checked here. 'SPM28 Kirana Regional Offsite' and 'SPM28 Straits Journal Club' are not listed.</t>
        </is>
      </c>
      <c r="J6" s="7" t="n"/>
      <c r="K6" s="14" t="n"/>
      <c r="L6" s="7" t="n"/>
    </row>
    <row r="7" ht="318" customHeight="1" s="21">
      <c r="A7" s="17" t="n">
        <v>2</v>
      </c>
      <c r="B7" s="17" t="inlineStr">
        <is>
          <t>SPM-28-TC05</t>
        </is>
      </c>
      <c r="C7" s="17" t="inlineStr">
        <is>
          <t>Review page displays all requirements of the request</t>
        </is>
      </c>
      <c r="D7" s="17" t="inlineStr">
        <is>
          <t>AC2</t>
        </is>
      </c>
      <c r="E7" s="17" t="inlineStr">
        <is>
          <t>Positive</t>
        </is>
      </c>
      <c r="F7" s="17" t="inlineStr">
        <is>
          <t>Test data loaded: `npm run fixtures:spm28` has been run from the project folder since the last full `npx prisma db seed` (it only touches the 'SPM28 …' events, EVT-000124 to EVT-000130, never anyone else's data).
 Logged in as Daniel Tan (daniel.tan@connectsphere.com / password123), Event Coordinator.</t>
        </is>
      </c>
      <c r="G7" s="17" t="inlineStr">
        <is>
          <t>Event: SPM28 Nusantara Product Launch (EVT-000124) | Client: Nusantara Tech Labs | Organiser: Sari Widodo | Category: Exhibition | Purpose: Regional product launch and press event | Description: Press event with livestream and product demonstration area. | When: 17 Mar 2027, 15:00–19:00 | Expected attendance: 200 | Preferred layout: Theatre | Registration: Not enabled | Facilities: High-density WiFi (required), Raised stage (required), Livestream capability (required), Green room (nice-to-have) | Equipment: LED Video Wall Panel × 4, Streaming Encoder × 1 | Accessibility needs and Special requirements: left empty by the organiser</t>
        </is>
      </c>
      <c r="H7" s="17" t="inlineStr">
        <is>
          <t>1. Click 'Review Queue' in the sidebar
 2. Click 'SPM28 Nusantara Product Launch'</t>
        </is>
      </c>
      <c r="I7" s="17" t="inlineStr">
        <is>
          <t>Step 1: The Review Queue page opens and lists 'SPM28 Nusantara Product Launch'.
 Step 2: The 'Review request' page opens, with 'SPM28 Nusantara Product Launch' under the title and the 'Under review' badge. The 'What was requested' card shows every value in the test data next to its label, each facility followed by '(required)' or '(nice-to-have)', and each equipment item as 'name × quantity'. Accessibility needs and Special requirements show a 'Not provided' marker. No raw stored values (e.g. 'under_review', 'theatre') are shown.</t>
        </is>
      </c>
      <c r="J7" s="7" t="n"/>
      <c r="K7" s="14" t="n"/>
      <c r="L7" s="7" t="n"/>
    </row>
    <row r="8" ht="183" customHeight="1" s="21">
      <c r="A8" s="17" t="n">
        <v>3</v>
      </c>
      <c r="B8" s="17" t="inlineStr">
        <is>
          <t>SPM-28-TC06</t>
        </is>
      </c>
      <c r="C8" s="17" t="inlineStr">
        <is>
          <t>Missing information is clearly flagged on the review page</t>
        </is>
      </c>
      <c r="D8" s="17" t="inlineStr">
        <is>
          <t>AC3</t>
        </is>
      </c>
      <c r="E8" s="17" t="inlineStr">
        <is>
          <t>Positive</t>
        </is>
      </c>
      <c r="F8" s="17" t="inlineStr">
        <is>
          <t>Test data loaded: `npm run fixtures:spm28` has been run from the project folder since the last full `npx prisma db seed` (it only touches the 'SPM28 …' events, EVT-000124 to EVT-000130, never anyone else's data).
 Logged in as Joel Fernandez (joel.fernandez@connectsphere.com / password123), Event Coordinator assigned to 'SPM28 Straits Journal Club' (Under review).
 The request has no description, accessibility needs, special requirements, facilities or equipment.</t>
        </is>
      </c>
      <c r="G8" s="17" t="inlineStr">
        <is>
          <t>Event: SPM28 Straits Journal Club (EVT-000127) | Empty: Description, Accessibility needs, Special requirements, Facilities, Equipment | Filled: Purpose 'Monthly journal club', Expected attendance 30, Layout Boardroom</t>
        </is>
      </c>
      <c r="H8" s="17" t="inlineStr">
        <is>
          <t>1. Click 'Review Queue' in the sidebar
 2. Click 'SPM28 Straits Journal Club'</t>
        </is>
      </c>
      <c r="I8" s="17" t="inlineStr">
        <is>
          <t>Step 1: The Review Queue page opens and lists 'SPM28 Straits Journal Club'.
 Step 2: A yellow alert 'Some information was not provided' lists 'Description, Accessibility needs, Special requirements, Facilities, Equipment'. In 'What was requested', each of those rows shows a 'Not provided' marker (not blank or hidden). Purpose shows 'Monthly journal club', Expected attendance shows 30 and Preferred layout shows 'Boardroom'.</t>
        </is>
      </c>
      <c r="J8" s="7" t="n"/>
      <c r="K8" s="14" t="n"/>
      <c r="L8" s="7" t="n"/>
    </row>
    <row r="9" ht="243" customHeight="1" s="21">
      <c r="A9" s="17" t="n">
        <v>4</v>
      </c>
      <c r="B9" s="17" t="inlineStr">
        <is>
          <t>SPM-28-TC08</t>
        </is>
      </c>
      <c r="C9" s="17" t="inlineStr">
        <is>
          <t>Coordinator approves a request for planning</t>
        </is>
      </c>
      <c r="D9" s="17" t="inlineStr">
        <is>
          <t>AC4, AC6</t>
        </is>
      </c>
      <c r="E9" s="17" t="inlineStr">
        <is>
          <t>Positive</t>
        </is>
      </c>
      <c r="F9" s="17" t="inlineStr">
        <is>
          <t>Test data loaded: `npm run fixtures:spm28` has been run from the project folder since the last full `npx prisma db seed` (it only touches the 'SPM28 …' events, EVT-000124 to EVT-000130, never anyone else's data).
 Before: run `npm run fixtures:spm28` so 'SPM28 Harbourline Client Seminar' is back to Under review.
 Logged in as Daniel Tan (daniel.tan@connectsphere.com / password123), coordinator of 'SPM28 Harbourline Client Seminar' (Under review).
 After: run `npm run fixtures:spm28` so the next tester starts from the same state. It deletes and recreates only the 'SPM28 …' events - do NOT run `npx prisma db seed`, which wipes everyone's data.</t>
        </is>
      </c>
      <c r="G9" s="17" t="inlineStr">
        <is>
          <t>Event: SPM28 Harbourline Client Seminar (EVT-000125) | Outcome: Approve</t>
        </is>
      </c>
      <c r="H9" s="17" t="inlineStr">
        <is>
          <t>1. Click 'Review Queue' in the sidebar
 2. Click 'SPM28 Harbourline Client Seminar'
 3. Select 'Approve — planning can start'
 4. Click 'Approve request'
 5. Click 'Approve' in the dialog
 6. Click 'Review Queue' in the sidebar
 7. Click 'All Events' in the sidebar and look for 'SPM28 Harbourline Client Seminar'</t>
        </is>
      </c>
      <c r="I9" s="17" t="inlineStr">
        <is>
          <t>Step 2: The 'Review request' page opens with the 'Under review' badge.
 Step 3: The option is highlighted and an 'Approve request' button is shown.
 Step 4: A dialog 'Approve this request?' appears, saying the event moves from Under review to Approved. The status has not changed yet.
 Step 5: A green 'Request approved' alert reads '"SPM28 Harbourline Client Seminar" is now Approved. Planning can start.' The status badge changes from 'Under review' to 'Approved' and the 'Your decision' card disappears.
 Step 6: 'SPM28 Harbourline Client Seminar' is no longer listed.
 Step 7: The event page shows the 'Approved' status badge, and no 'This request is waiting for your review' alert.</t>
        </is>
      </c>
      <c r="J9" s="7" t="n"/>
      <c r="K9" s="14" t="n"/>
      <c r="L9" s="7" t="n"/>
    </row>
    <row r="10" ht="183" customHeight="1" s="21">
      <c r="A10" s="17" t="n">
        <v>5</v>
      </c>
      <c r="B10" s="17" t="inlineStr">
        <is>
          <t>SPM-28-TC10</t>
        </is>
      </c>
      <c r="C10" s="17" t="inlineStr">
        <is>
          <t>Coordinator rejects a request with a reason</t>
        </is>
      </c>
      <c r="D10" s="17" t="inlineStr">
        <is>
          <t>AC5, AC6</t>
        </is>
      </c>
      <c r="E10" s="17" t="inlineStr">
        <is>
          <t>Positive</t>
        </is>
      </c>
      <c r="F10" s="17" t="inlineStr">
        <is>
          <t>Test data loaded: `npm run fixtures:spm28` has been run from the project folder since the last full `npx prisma db seed` (it only touches the 'SPM28 …' events, EVT-000124 to EVT-000130, never anyone else's data).
 Before: run `npm run fixtures:spm28` so 'SPM28 Kirana Regional Offsite' is back to Under review.
 Logged in as Priya Raj (priya.raj@connectsphere.com / password123), Event Coordinator assigned to 'SPM28 Kirana Regional Offsite' (Under review).</t>
        </is>
      </c>
      <c r="G10" s="17" t="inlineStr">
        <is>
          <t>Event: SPM28 Kirana Regional Offsite (EVT-000126) | Reason for rejection: Headcount was not confirmed after two reminders; please resubmit once numbers are final.</t>
        </is>
      </c>
      <c r="H10" s="17" t="inlineStr">
        <is>
          <t>1. Click 'Review Queue' in the sidebar
 2. Click 'SPM28 Kirana Regional Offsite'
 3. Select 'Reject this request'
 4. Type the reason into 'Reason for rejection'
 5. Click 'Reject request'
 6. Click 'Review Queue' in the sidebar</t>
        </is>
      </c>
      <c r="I10" s="17" t="inlineStr">
        <is>
          <t>Step 2: The 'Review request' page opens with the 'Under review' badge.
 Step 3: The 'Reason for rejection' field (marked required) and the 'Reject request' and 'Cancel' buttons appear.
 Step 5: A green 'Request rejected' alert reads '"SPM28 Kirana Regional Offsite" is now Rejected. The organiser can see your reason on the event.' followed by 'Reason:' and the reason exactly as typed. The status badge changes from 'Under review' to 'Rejected'.
 Step 6: 'SPM28 Kirana Regional Offsite' is no longer listed.</t>
        </is>
      </c>
      <c r="J10" s="7" t="n"/>
      <c r="K10" s="14" t="n"/>
      <c r="L10" s="7" t="n"/>
    </row>
    <row r="11" ht="20" customHeight="1" s="21">
      <c r="A11" s="6" t="inlineStr">
        <is>
          <t>SPM-30  Assign Event Coordinator  -  run npm run fixtures:spm30 before its first case</t>
        </is>
      </c>
      <c r="B11" s="16" t="n"/>
      <c r="C11" s="16" t="n"/>
      <c r="D11" s="16" t="n"/>
      <c r="E11" s="16" t="n"/>
      <c r="F11" s="16" t="n"/>
      <c r="G11" s="16" t="n"/>
      <c r="H11" s="16" t="n"/>
      <c r="I11" s="16" t="n"/>
      <c r="J11" s="16" t="n"/>
      <c r="K11" s="16" t="n"/>
      <c r="L11" s="16" t="n"/>
    </row>
    <row r="12" ht="183" customHeight="1" s="21">
      <c r="A12" s="17" t="n">
        <v>6</v>
      </c>
      <c r="B12" s="17" t="inlineStr">
        <is>
          <t>SPM-30-TC08</t>
        </is>
      </c>
      <c r="C12" s="17" t="inlineStr">
        <is>
          <t>Ops Manager assigns a coordinator; it is recorded and the event moves to Under review</t>
        </is>
      </c>
      <c r="D12" s="17" t="inlineStr">
        <is>
          <t>AC1, AC2, AC3</t>
        </is>
      </c>
      <c r="E12" s="17" t="inlineStr">
        <is>
          <t>Positive</t>
        </is>
      </c>
      <c r="F12" s="17" t="inlineStr">
        <is>
          <t>Test data loaded: run `npm run fixtures:spm30` from the project folder if it has not been run for this test pass.
'SPM30 Nusantara Developer Meetup' (organiser Budi Santoso, Nusantara Tech Labs) is Submitted with no coordinator.
Logged in as Grace Lim (grace.lim@connectsphere.com / password123).
Data reset: Changes data (assigns the event). TC09 and TC10 continue from this result, so reset only after TC10: run `npm run fixtures:spm30` from the project folder.</t>
        </is>
      </c>
      <c r="G12" s="17" t="inlineStr">
        <is>
          <t>Event: SPM30 Nusantara Developer Meetup | Coordinator: Daniel Tan</t>
        </is>
      </c>
      <c r="H12" s="17" t="inlineStr">
        <is>
          <t>1. Click 'Assignments' in the sidebar
2. In the 'Assign to' dropdown for 'SPM30 Nusantara Developer Meetup', choose 'Daniel Tan'
3. Click 'Assign'
4. Click 'All Events' and open 'SPM30 Nusantara Developer Meetup'
5. Reload the page</t>
        </is>
      </c>
      <c r="I12" s="17" t="inlineStr">
        <is>
          <t>The message 'Daniel Tan is now the coordinator for "SPM30 Nusantara Developer Meetup". It has moved to Under review.' is shown.
'SPM30 Nusantara Developer Meetup' disappears from the 'Awaiting assignment' list.
After reloading the event page, the status badge shows 'Under review' (previously 'Submitted') and the 'Details' card shows Coordinator 'Daniel Tan'.</t>
        </is>
      </c>
      <c r="J12" s="7" t="n"/>
      <c r="K12" s="14" t="n"/>
      <c r="L12" s="7" t="n"/>
    </row>
    <row r="13" ht="108" customHeight="1" s="21">
      <c r="A13" s="17" t="n">
        <v>7</v>
      </c>
      <c r="B13" s="17" t="inlineStr">
        <is>
          <t>SPM-30-TC10</t>
        </is>
      </c>
      <c r="C13" s="17" t="inlineStr">
        <is>
          <t>Owning organiser sees the assigned coordinator</t>
        </is>
      </c>
      <c r="D13" s="17" t="inlineStr">
        <is>
          <t>AC5</t>
        </is>
      </c>
      <c r="E13" s="17" t="inlineStr">
        <is>
          <t>Positive</t>
        </is>
      </c>
      <c r="F13" s="17" t="inlineStr">
        <is>
          <t>TC08 completed: Daniel Tan is assigned to 'SPM30 Nusantara Developer Meetup'.
Logged in as Budi Santoso (budi.santoso@nusantaratec.com / password123), the event's organiser.
Data reset: After this case, reset the data TC08 and TC09 changed: run `npm run fixtures:spm30` from the project folder.</t>
        </is>
      </c>
      <c r="G13" s="17" t="inlineStr">
        <is>
          <t>Event: SPM30 Nusantara Developer Meetup | Organiser: Budi Santoso</t>
        </is>
      </c>
      <c r="H13" s="17" t="inlineStr">
        <is>
          <t>1. Click 'My Events' in the sidebar
2. Open 'SPM30 Nusantara Developer Meetup'</t>
        </is>
      </c>
      <c r="I13" s="17" t="inlineStr">
        <is>
          <t>The 'Details' card shows Coordinator 'Daniel Tan'.</t>
        </is>
      </c>
      <c r="J13" s="7" t="n"/>
      <c r="K13" s="14" t="n"/>
      <c r="L13" s="7" t="n"/>
    </row>
    <row r="14" ht="183" customHeight="1" s="21">
      <c r="A14" s="17" t="n">
        <v>8</v>
      </c>
      <c r="B14" s="17" t="inlineStr">
        <is>
          <t>SPM-30-TC13</t>
        </is>
      </c>
      <c r="C14" s="17" t="inlineStr">
        <is>
          <t>Ops Manager reassigns an event from the event page</t>
        </is>
      </c>
      <c r="D14" s="17" t="inlineStr">
        <is>
          <t>AC6, AC3</t>
        </is>
      </c>
      <c r="E14" s="17" t="inlineStr">
        <is>
          <t>Positive</t>
        </is>
      </c>
      <c r="F14" s="17" t="inlineStr">
        <is>
          <t>Test data loaded: run `npm run fixtures:spm30` from the project folder if it has not been run for this test pass.
'SPM30 Kirana Regional Offsite' (organiser Faridah Aziz) is Under review with coordinator Priya Raj.
Logged in as Grace Lim (grace.lim@connectsphere.com / password123).
Data reset: Changes data (reassigns the event). TC14 continues from this result, so reset only after TC14: run `npm run fixtures:spm30` from the project folder.</t>
        </is>
      </c>
      <c r="G14" s="17" t="inlineStr">
        <is>
          <t>Event: SPM30 Kirana Regional Offsite | From: Priya Raj | To: Joel Fernandez</t>
        </is>
      </c>
      <c r="H14" s="17" t="inlineStr">
        <is>
          <t>1. Click 'All Events'
2. Open 'SPM30 Kirana Regional Offsite'
3. In the 'Change coordinator' card, choose 'Joel Fernandez' from the dropdown
4. Click 'Reassign'
5. Click 'Reassign' in the 'Reassign this event?' confirmation
6. Reload the page</t>
        </is>
      </c>
      <c r="I14" s="17" t="inlineStr">
        <is>
          <t>The confirmation says the event moves from Priya Raj to Joel Fernandez.
The message 'Reassigned from Priya Raj to Joel Fernandez.' is shown.
After reloading, the 'Details' card shows Coordinator 'Joel Fernandez'.
The event status is unchanged (Under review).</t>
        </is>
      </c>
      <c r="J14" s="7" t="n"/>
      <c r="K14" s="14" t="n"/>
      <c r="L14" s="7" t="n"/>
    </row>
    <row r="15" ht="123" customHeight="1" s="21">
      <c r="A15" s="17" t="n">
        <v>9</v>
      </c>
      <c r="B15" s="17" t="inlineStr">
        <is>
          <t>SPM-30-TC14</t>
        </is>
      </c>
      <c r="C15" s="17" t="inlineStr">
        <is>
          <t>After reassignment the previous coordinator loses access and the new one gains it</t>
        </is>
      </c>
      <c r="D15" s="17" t="inlineStr">
        <is>
          <t>AC6, AC4</t>
        </is>
      </c>
      <c r="E15" s="17" t="inlineStr">
        <is>
          <t>Positive</t>
        </is>
      </c>
      <c r="F15" s="17" t="inlineStr">
        <is>
          <t>TC13 completed: 'SPM30 Kirana Regional Offsite' reassigned from Priya Raj to Joel Fernandez.
Data reset: After this case, reset the data TC13 changed: run `npm run fixtures:spm30` from the project folder.</t>
        </is>
      </c>
      <c r="G15" s="17" t="inlineStr">
        <is>
          <t>Event: SPM30 Kirana Regional Offsite | Previous: Priya Raj | New: Joel Fernandez</t>
        </is>
      </c>
      <c r="H15" s="17" t="inlineStr">
        <is>
          <t>1. Log in as Priya Raj (priya.raj@connectsphere.com / password123)
2. Open the Dashboard
3. Open 'SPM30 Kirana Regional Offsite' from 'All Events' and open the 'Equipment' tab
4. Log out and log in as Joel Fernandez (joel.fernandez@connectsphere.com / password123)
5. Open the Dashboard</t>
        </is>
      </c>
      <c r="I15" s="17" t="inlineStr">
        <is>
          <t>The event is no longer listed on Priya Raj's dashboard, and she sees no add/edit options on its Equipment tab.
The event is listed under 'Awaiting your review' on Joel Fernandez's dashboard.</t>
        </is>
      </c>
      <c r="J15" s="7" t="n"/>
      <c r="K15" s="14" t="n"/>
      <c r="L15" s="7" t="n"/>
    </row>
    <row r="16" ht="20" customHeight="1" s="21">
      <c r="A16" s="6" t="inlineStr">
        <is>
          <t>SPM-54  Begin Event Planning  -  run npm run fixtures:spm54 before its first case</t>
        </is>
      </c>
      <c r="B16" s="16" t="n"/>
      <c r="C16" s="16" t="n"/>
      <c r="D16" s="16" t="n"/>
      <c r="E16" s="16" t="n"/>
      <c r="F16" s="16" t="n"/>
      <c r="G16" s="16" t="n"/>
      <c r="H16" s="16" t="n"/>
      <c r="I16" s="16" t="n"/>
      <c r="J16" s="16" t="n"/>
      <c r="K16" s="16" t="n"/>
      <c r="L16" s="16" t="n"/>
    </row>
    <row r="17" ht="243" customHeight="1" s="21">
      <c r="A17" s="17" t="n">
        <v>10</v>
      </c>
      <c r="B17" s="17" t="inlineStr">
        <is>
          <t>SPM-54-TC01</t>
        </is>
      </c>
      <c r="C17" s="17" t="inlineStr">
        <is>
          <t>Pressing Search on Find a venue for an Approved event moves it to Planning</t>
        </is>
      </c>
      <c r="D17" s="17" t="inlineStr">
        <is>
          <t>AC1, AC2</t>
        </is>
      </c>
      <c r="E17" s="17" t="inlineStr">
        <is>
          <t>Positive</t>
        </is>
      </c>
      <c r="F17" s="17" t="inlineStr">
        <is>
          <t>Test data loaded: `npm run fixtures:spm54` has been run from the project folder since the last full `npx prisma db seed` (it only touches the 'SPM54 …' events, EVT-000145 to EVT-000154, never anyone else's data).
Before: run `npm run fixtures:spm54` so 'SPM54 Straits Clinical Forum' is back to Approved.
Logged in as Daniel Tan (daniel.tan@connectsphere.com / password123), coordinator of 'SPM54 Straits Clinical Forum' (Approved).
After: if you are running SPM-54-TC02 next, go straight to it - it needs this event in Planning. Otherwise run `npm run fixtures:spm54` so the next tester starts from the same state (never `npx prisma db seed`, which wipes everyone's data).</t>
        </is>
      </c>
      <c r="G17" s="17" t="inlineStr">
        <is>
          <t>Event: SPM54 Straits Clinical Forum (EVT-000145) | Starting status: Approved | Coordinator: Daniel Tan | Organiser: Evelyn Chen</t>
        </is>
      </c>
      <c r="H17" s="17" t="inlineStr">
        <is>
          <t>1. Click 'All Events' in the sidebar and open 'SPM54 Straits Clinical Forum'
2. Click the 'Venue' tab
3. Click 'Search with filters'
4. Click 'Search'
5. Click 'Continue' in the dialog
6. Click 'EVT-000145' in the breadcrumb at the top of the page
7. Click 'All Events' in the sidebar</t>
        </is>
      </c>
      <c r="I17" s="17" t="inlineStr">
        <is>
          <t>Step 1: The event page shows EVT-000145 with the 'Approved' status badge, and 'Approved' next to Status in the Details card.
Step 3: The 'Find a venue' search page opens with the subtitle 'Filled in from SPM54 Straits Clinical Forum's requirements. Change any filter and search again.' No 'Planning has started' alert is shown.
Step 4: A dialog 'Begin planning?' reads 'This is the first venue or equipment action for this event, so it will move from Approved to Planning. The organiser and ConnectSphere staff will see this status. This cannot be undone.' with 'Cancel' and 'Continue' buttons. The status has not changed yet.
Step 5: The dialog closes and the search runs. Above the filters, a green alert 'Planning has started' reads 'This event has moved from Approved to Planning now that its venue search has begun.'
Step 6: The event page shows the 'Planning' status badge, and 'Planning' next to Status in the Details card.
Step 7: The 'SPM54 Straits Clinical Forum' row shows 'Planning' in the Status column.</t>
        </is>
      </c>
      <c r="J17" s="7" t="n"/>
      <c r="K17" s="14" t="n"/>
      <c r="L17" s="7" t="n"/>
    </row>
    <row r="18" ht="168" customHeight="1" s="21">
      <c r="A18" s="17" t="n">
        <v>11</v>
      </c>
      <c r="B18" s="17" t="inlineStr">
        <is>
          <t>SPM-54-TC02</t>
        </is>
      </c>
      <c r="C18" s="17" t="inlineStr">
        <is>
          <t>Organiser sees that their event has entered Planning</t>
        </is>
      </c>
      <c r="D18" s="17" t="inlineStr">
        <is>
          <t>AC4</t>
        </is>
      </c>
      <c r="E18" s="17" t="inlineStr">
        <is>
          <t>Positive</t>
        </is>
      </c>
      <c r="F18" s="17" t="inlineStr">
        <is>
          <t>SPM-54-TC01 has just been run ('SPM54 Straits Clinical Forum' moved to Planning by Daniel Tan).
Logged in as Evelyn Chen (evelyn.chen@straitsmedic.com / password123), Event Organiser of 'SPM54 Straits Clinical Forum'.
After: run `npm run fixtures:spm54` so the next tester starts from the same state. It deletes and recreates only the 'SPM54 …' events - do NOT run `npx prisma db seed`, which wipes everyone's data.</t>
        </is>
      </c>
      <c r="G18" s="17" t="inlineStr">
        <is>
          <t>Event: SPM54 Straits Clinical Forum (EVT-000145) | Organiser: Evelyn Chen | Coordinator: Daniel Tan</t>
        </is>
      </c>
      <c r="H18" s="17" t="inlineStr">
        <is>
          <t>1. Click 'Dashboard' in the sidebar
2. Click 'My Events' in the sidebar
3. Choose 'Planning' in 'Filter by status'
4. Click 'SPM54 Straits Clinical Forum'</t>
        </is>
      </c>
      <c r="I18" s="17" t="inlineStr">
        <is>
          <t>Step 1: Under the 'Planning' heading on the Dashboard, 'SPM54 Straits Clinical Forum' is listed with the 'Planning' status badge. It is the first event in that section (each section shows the five most recently updated) and is not under 'Approved'.
Step 2: Under 'Submitted', 'SPM54 Straits Clinical Forum' is listed with 'Planning' in the Status column.
Step 3: 'SPM54 Straits Clinical Forum' is still listed, and every listed event shows 'Planning'.
Step 4: The event page shows EVT-000145 with the 'Planning' status badge. The Details card shows 'Planning' next to Status and 'Daniel Tan' next to Coordinator.</t>
        </is>
      </c>
      <c r="J18" s="7" t="n"/>
      <c r="K18" s="14" t="n"/>
      <c r="L18" s="7" t="n"/>
    </row>
    <row r="19" ht="288" customHeight="1" s="21">
      <c r="A19" s="17" t="n">
        <v>12</v>
      </c>
      <c r="B19" s="17" t="inlineStr">
        <is>
          <t>SPM-54-TC07</t>
        </is>
      </c>
      <c r="C19" s="17" t="inlineStr">
        <is>
          <t>Removing an equipment item from an Approved event moves it to Planning</t>
        </is>
      </c>
      <c r="D19" s="17" t="inlineStr">
        <is>
          <t>AC1, AC3</t>
        </is>
      </c>
      <c r="E19" s="17" t="inlineStr">
        <is>
          <t>Positive</t>
        </is>
      </c>
      <c r="F19" s="17" t="inlineStr">
        <is>
          <t>Test data loaded: `npm run fixtures:spm54` has been run from the project folder since the last full `npx prisma db seed` (it only touches the 'SPM54 …' events, EVT-000145 to EVT-000154, never anyone else's data).
 Before: run `npm run fixtures:spm54` so 'SPM54 Civic Trust Teachers Briefing' is back to Approved with its one equipment item.
 Logged in as Daniel Tan (daniel.tan@connectsphere.com / password123), coordinator of 'SPM54 Civic Trust Teachers Briefing' (Approved). Its organiser, Grace Abdullah, requested Handheld Wireless Mic × 1 when creating the event, so the item is already listed before planning begins.
 After: run `npm run fixtures:spm54` so the next tester starts from the same state. It deletes and recreates only the 'SPM54 …' events - do NOT run `npx prisma db seed`, which wipes everyone's data.</t>
        </is>
      </c>
      <c r="G19" s="17" t="inlineStr">
        <is>
          <t>Event: SPM54 Civic Trust Teachers Briefing (EVT-000154) | Starting status: Approved | Equipment removed: Handheld Wireless Mic (quantity 1)</t>
        </is>
      </c>
      <c r="H19" s="17" t="inlineStr">
        <is>
          <t>1. Click 'All Events' in the sidebar and open 'SPM54 Civic Trust Teachers Briefing'
 2. Click the 'Equipment' tab
 3. Click 'Remove' on the 'Handheld Wireless Mic' row
 4. Click 'Remove' in the dialog
 5. Click the 'Overview' tab</t>
        </is>
      </c>
      <c r="I19" s="17" t="inlineStr">
        <is>
          <t>Step 1: The event page shows EVT-000154 with the 'Approved' status badge.
 Step 2: The 'Equipment requirements' page shows EVT-000154 with the 'Approved' status badge. The 'Requested items' card shows '1 item': 'Handheld Wireless Mic' with a 'Requested' badge and Quantity 1.
 Step 3: A dialog 'Remove this equipment requirement?' reads 'Technical Support will no longer see this item requested for this event.' followed by 'This is the first venue or equipment action for this event, so it will also move from Approved to Planning. The organiser and ConnectSphere staff will see this status. This cannot be undone.' The item is still listed and the status badge still shows 'Approved'. No separate 'Begin planning?' dialog appears.
 Step 4: The dialog closes and 'Nothing requested yet' is shown. A green alert 'Planning has started' reads 'This event has moved from Approved to Planning now that its equipment requirements are being worked on.', and the status badge at the top of the page changes to 'Planning'.
 Step 5: The event page shows the 'Planning' status badge, and 'Planning' next to Status in the Details card.</t>
        </is>
      </c>
      <c r="J19" s="7" t="n"/>
      <c r="K19" s="14" t="n"/>
      <c r="L19" s="7" t="n"/>
    </row>
    <row r="20" ht="20" customHeight="1" s="21">
      <c r="A20" s="6" t="inlineStr">
        <is>
          <t>SPM-33  Track Outstanding Arrangements  -  run npm run fixtures:spm33 before its first case</t>
        </is>
      </c>
      <c r="B20" s="16" t="n"/>
      <c r="C20" s="16" t="n"/>
      <c r="D20" s="16" t="n"/>
      <c r="E20" s="16" t="n"/>
      <c r="F20" s="16" t="n"/>
      <c r="G20" s="16" t="n"/>
      <c r="H20" s="16" t="n"/>
      <c r="I20" s="16" t="n"/>
      <c r="J20" s="16" t="n"/>
      <c r="K20" s="16" t="n"/>
      <c r="L20" s="16" t="n"/>
    </row>
    <row r="21" ht="258" customHeight="1" s="21">
      <c r="A21" s="17" t="n">
        <v>13</v>
      </c>
      <c r="B21" s="17" t="inlineStr">
        <is>
          <t>SPM-33-TC01-R</t>
        </is>
      </c>
      <c r="C21" s="17" t="inlineStr">
        <is>
          <t>Every venue booking, equipment line and the safety check are listed with their own status, and Confirm names what is outstanding</t>
        </is>
      </c>
      <c r="D21" s="17" t="inlineStr">
        <is>
          <t>AC1, AC2, AC3, AC6, AC7, AC9, AC11</t>
        </is>
      </c>
      <c r="E21" s="17" t="inlineStr">
        <is>
          <t>Positive</t>
        </is>
      </c>
      <c r="F21" s="17" t="inlineStr">
        <is>
          <t>Rewritten: the story's SPM-33-TC01 is out of date (SPM-88, SPM-65).
The SPM-33 fixtures are loaded (npm run fixtures:spm33). 'SPM33 Two Room Conference' is in Planning, assigned to Daniel Tan, with Marina Auditorium (Approved), Orchard Studio (Pending), Handheld Wireless Mic (Reserved) and Audio Mixing Desk (Requested). It has never been submitted for a safety check. Logged in as Daniel Tan. Confirmation is refused, so nothing changes.</t>
        </is>
      </c>
      <c r="G21" s="17" t="inlineStr">
        <is>
          <t>Event: SPM33 Two Room Conference (Planning)</t>
        </is>
      </c>
      <c r="H21" s="17" t="inlineStr">
        <is>
          <t>1. Click 'All Events' in the sidebar and open 'SPM33 Two Room Conference'
2. Click the 'Readiness' tab
3. Click the 'Overview' tab
4. Click 'Confirm event'
5. Click 'Confirm event' in the dialog</t>
        </is>
      </c>
      <c r="I21" s="17" t="inlineStr">
        <is>
          <t>Step 1: The status badge reads 'Planning'. The tabs are 'Overview', 'Venue', 'Equipment', 'Attendees' and 'Readiness'.
Step 2: '3 arrangements still block confirmation' is shown. 'Marina Auditorium' (Booking status: Approved) and 'Handheld Wireless Mic' (Request status: Reserved) are 'Complete'. 'Orchard Studio' is 'Outstanding': 'Orchard Studio for this event is still awaiting a decision from Venue Staff.' 'Audio Mixing Desk' is 'Outstanding': 'Audio Mixing Desk for this event is not reserved yet.' Both have 'Mark as not required'. 'Registration setup' is 'Not required': 'Registration is not enabled for this event.' 'Operational Safety Check' is 'Outstanding' (Safety check status: Not submitted): 'The Operational Safety Check has not been submitted yet.', with no 'Mark as not required' button.
Step 5: The event is NOT confirmed. 'This event cannot be confirmed yet: Orchard Studio for this event is still awaiting a decision from Venue Staff; Audio Mixing Desk for this event is not reserved yet; the Operational Safety Check has not been submitted yet.' is shown. The status badge still reads 'Planning'.</t>
        </is>
      </c>
      <c r="J21" s="7" t="n"/>
      <c r="K21" s="14" t="n"/>
      <c r="L21" s="7" t="n"/>
    </row>
    <row r="22" ht="183" customHeight="1" s="21">
      <c r="A22" s="17" t="n">
        <v>14</v>
      </c>
      <c r="B22" s="17" t="inlineStr">
        <is>
          <t>SPM-33-TC05-R</t>
        </is>
      </c>
      <c r="C22" s="17" t="inlineStr">
        <is>
          <t>A flagged venue booking and equipment reservation are shown as outstanding, with why, and prevent confirmation</t>
        </is>
      </c>
      <c r="D22" s="17" t="inlineStr">
        <is>
          <t>AC4, AC11</t>
        </is>
      </c>
      <c r="E22" s="17" t="inlineStr">
        <is>
          <t>Positive</t>
        </is>
      </c>
      <c r="F22" s="17" t="inlineStr">
        <is>
          <t>Rewritten: the story's SPM-33-TC05 is out of date (SPM-88).
The SPM-33 fixtures are loaded. 'SPM33 Date Changed' is in Planning, assigned to Daniel Tan; its Orchard Seminar Room booking (Approved) and Handheld Wireless Mic (Reserved) are both flagged because the date changed. Logged in as Daniel Tan. Nothing changes.</t>
        </is>
      </c>
      <c r="G22" s="17" t="inlineStr">
        <is>
          <t>Event: SPM33 Date Changed (Planning)</t>
        </is>
      </c>
      <c r="H22" s="17" t="inlineStr">
        <is>
          <t>1. Click 'All Events' in the sidebar and open 'SPM33 Date Changed'
2. Click the 'Readiness' tab
3. Click the 'Overview' tab
4. Click 'Confirm event'
5. Click 'Confirm event' in the dialog</t>
        </is>
      </c>
      <c r="I22" s="17" t="inlineStr">
        <is>
          <t>Step 2: '3 arrangements still block confirmation' is shown. 'Orchard Seminar Room' (Booking status: Approved) is 'Outstanding': 'Orchard Seminar Room for this event is flagged for review: the date or time changed.', with 'Review in Flagged Arrangements', 'Keep booking' and 'Mark as not required'. 'Handheld Wireless Mic' (Request status: Reserved) is 'Outstanding' and flagged the same way, with 'Keep reservation'. 'Operational Safety Check' is 'Outstanding' (Not submitted).
Step 5: The event is NOT confirmed. 'This event cannot be confirmed yet: Orchard Seminar Room for this event is flagged for review: the date or time changed; Handheld Wireless Mic for this event is flagged for review: the date or time changed; the Operational Safety Check has not been submitted yet.' is shown. The status badge still reads 'Planning'.</t>
        </is>
      </c>
      <c r="J22" s="7" t="n"/>
      <c r="K22" s="14" t="n"/>
      <c r="L22" s="7" t="n"/>
    </row>
    <row r="23" ht="183" customHeight="1" s="21">
      <c r="A23" s="17" t="n">
        <v>15</v>
      </c>
      <c r="B23" s="17" t="inlineStr">
        <is>
          <t>SPM-33-TC08-R</t>
        </is>
      </c>
      <c r="C23" s="17" t="inlineStr">
        <is>
          <t>The assigned Coordinator marks an equipment line Technical Support cannot provide as not required</t>
        </is>
      </c>
      <c r="D23" s="17" t="inlineStr">
        <is>
          <t>AC8, AC10, AC7</t>
        </is>
      </c>
      <c r="E23" s="17" t="inlineStr">
        <is>
          <t>Positive</t>
        </is>
      </c>
      <c r="F23" s="17" t="inlineStr">
        <is>
          <t>Rewritten: the story's SPM-33-TC08 is out of date (SPM-88).
Run before SPM-33-TC09-R, which continues from this case.
Run npm run fixtures:spm33 before this case. 'SPM33 Stage Unavailable' is in Planning, assigned to Daniel Tan, with an approved booking at Orchard Gallery, Handheld Wireless Mic (Reserved) and Portable Stage (Cannot be provided). Logged in as Daniel Tan. SPM-33-TC09 needs this change, so go straight to it and run npm run fixtures:spm33 after SPM-33-TC09.</t>
        </is>
      </c>
      <c r="G23" s="17" t="inlineStr">
        <is>
          <t>Event: SPM33 Stage Unavailable (Planning)</t>
        </is>
      </c>
      <c r="H23" s="17" t="inlineStr">
        <is>
          <t>1. Click 'All Events' in the sidebar and open 'SPM33 Stage Unavailable'
2. Click the 'Readiness' tab
3. Click 'Mark as not required' in the 'Portable Stage' item</t>
        </is>
      </c>
      <c r="I23" s="17" t="inlineStr">
        <is>
          <t>Step 2: '2 arrangements still block confirmation' is shown. 'Portable Stage' (Request status: Cannot be provided) is 'Outstanding': 'Portable Stage for this event is not reserved yet.', with 'Mark as not required'. 'Orchard Gallery' and 'Handheld Wireless Mic' are 'Complete' with no such button. 'Operational Safety Check' is 'Outstanding' (Not submitted).
Step 3: 'Portable Stage' now shows 'Not required', still 'Request status: Cannot be provided', and 'Marked as not required by Daniel Tan on' today's date and time. Its button reads 'Mark as required'. The message changes to '1 arrangement still blocks confirmation' - the safety check, which cannot be marked as not required.</t>
        </is>
      </c>
      <c r="J23" s="7" t="n"/>
      <c r="K23" s="14" t="n"/>
      <c r="L23" s="7" t="n"/>
    </row>
    <row r="24" ht="123" customHeight="1" s="21">
      <c r="A24" s="17" t="n">
        <v>16</v>
      </c>
      <c r="B24" s="17" t="inlineStr">
        <is>
          <t>SPM-33-TC09-R</t>
        </is>
      </c>
      <c r="C24" s="17" t="inlineStr">
        <is>
          <t>The Coordinator reverses a not-required decision and the arrangement is outstanding again</t>
        </is>
      </c>
      <c r="D24" s="17" t="inlineStr">
        <is>
          <t>AC8</t>
        </is>
      </c>
      <c r="E24" s="17" t="inlineStr">
        <is>
          <t>Positive</t>
        </is>
      </c>
      <c r="F24" s="17" t="inlineStr">
        <is>
          <t>Rewritten: the story's SPM-33-TC09 is out of date (SPM-88).
Run straight after SPM-33-TC08-R - do not reset the fixtures in between.
SPM-33-TC08 has just been run and the fixtures have NOT been reset since. Still on the Readiness tab of 'SPM33 Stage Unavailable' as Daniel Tan. Run npm run fixtures:spm33 after this case.</t>
        </is>
      </c>
      <c r="G24" s="17" t="inlineStr">
        <is>
          <t>Event: SPM33 Stage Unavailable (Planning) | Portable Stage, marked as not required in SPM-33-TC08</t>
        </is>
      </c>
      <c r="H24" s="17" t="inlineStr">
        <is>
          <t>1. Click 'Mark as required' in the 'Portable Stage' item
2. Click the 'Equipment' tab of the event (not 'Equipment' in the sidebar)</t>
        </is>
      </c>
      <c r="I24" s="17" t="inlineStr">
        <is>
          <t>Step 1: 'Portable Stage' is 'Outstanding' again, with 'Mark as not required', and no longer says who marked it. The message changes back to '2 arrangements still block confirmation'.
Step 2: The 'Portable Stage' requirement is still listed with 'Cannot be provided' and 'Technical Support notes: Every unit is committed elsewhere that week.' Marking it and reversing the decision did not change or remove it.</t>
        </is>
      </c>
      <c r="J24" s="7" t="n"/>
      <c r="K24" s="14" t="n"/>
      <c r="L24" s="7" t="n"/>
    </row>
    <row r="25" ht="183" customHeight="1" s="21">
      <c r="A25" s="17" t="n">
        <v>17</v>
      </c>
      <c r="B25" s="17" t="inlineStr">
        <is>
          <t>SPM-33-TC12-R</t>
        </is>
      </c>
      <c r="C25" s="17" t="inlineStr">
        <is>
          <t>Registration that is enabled but has no capacity is outstanding until it is marked as not required</t>
        </is>
      </c>
      <c r="D25" s="17" t="inlineStr">
        <is>
          <t>AC5, AC8</t>
        </is>
      </c>
      <c r="E25" s="17" t="inlineStr">
        <is>
          <t>Positive</t>
        </is>
      </c>
      <c r="F25" s="17" t="inlineStr">
        <is>
          <t>Rewritten: the story's SPM-33-TC12 is out of date (SPM-88).
Run npm run fixtures:spm33 before and after this case. 'SPM33 Registration Not Needed' is in Planning, assigned to Daniel Tan, with an approved booking at Orchard Gallery and no equipment. Registration is enabled, opens 22 Jun 2027, 09:00 and closes 20 Jul 2027, 09:00, with no capacity. Logged in as Daniel Tan.</t>
        </is>
      </c>
      <c r="G25" s="17" t="inlineStr">
        <is>
          <t>Event: SPM33 Registration Not Needed (Planning) | Registration: enabled, capacity not set</t>
        </is>
      </c>
      <c r="H25" s="17" t="inlineStr">
        <is>
          <t>1. Click 'All Events' in the sidebar and open 'SPM33 Registration Not Needed'
2. Click the 'Readiness' tab
3. Click 'Mark as not required' in the 'Registration setup' item
4. Click the 'Overview' tab</t>
        </is>
      </c>
      <c r="I25" s="17" t="inlineStr">
        <is>
          <t>Step 2: '2 arrangements still block confirmation' is shown. 'Orchard Gallery' is 'Complete'. The Equipment section says 'No equipment has been recorded for this event.' 'Registration setup' is 'Outstanding': 'Registration setup is incomplete (still needed: registration capacity).', with 'Mark as not required'. 'Operational Safety Check' is 'Outstanding' (Not submitted).
Step 3: 'Registration setup' shows 'Not required' and 'Marked as not required by Daniel Tan on' today's date and time, and its button reads 'Mark as required'. The message changes to '1 arrangement still blocks confirmation' (the safety check).
Step 4: The status badge still reads 'Planning'. The Registration card still shows Registration 'Enabled', Capacity '—', Opens '22 Jun 2027, 09:00' and Closes '20 Jul 2027, 09:00': the settings were not changed.</t>
        </is>
      </c>
      <c r="J25" s="7" t="n"/>
      <c r="K25" s="14" t="n"/>
      <c r="L25" s="7" t="n"/>
    </row>
    <row r="26" ht="20" customHeight="1" s="21">
      <c r="A26" s="6" t="inlineStr">
        <is>
          <t>SPM-34  Confirm Event  -  run npm run fixtures:spm34 before its first case</t>
        </is>
      </c>
      <c r="B26" s="16" t="n"/>
      <c r="C26" s="16" t="n"/>
      <c r="D26" s="16" t="n"/>
      <c r="E26" s="16" t="n"/>
      <c r="F26" s="16" t="n"/>
      <c r="G26" s="16" t="n"/>
      <c r="H26" s="16" t="n"/>
      <c r="I26" s="16" t="n"/>
      <c r="J26" s="16" t="n"/>
      <c r="K26" s="16" t="n"/>
      <c r="L26" s="16" t="n"/>
    </row>
    <row r="27" ht="243" customHeight="1" s="21">
      <c r="A27" s="17" t="n">
        <v>18</v>
      </c>
      <c r="B27" s="17" t="inlineStr">
        <is>
          <t>SPM-34-TC01-R</t>
        </is>
      </c>
      <c r="C27" s="17" t="inlineStr">
        <is>
          <t>An event whose arrangements are all complete can be confirmed</t>
        </is>
      </c>
      <c r="D27" s="17" t="inlineStr">
        <is>
          <t>AC1, AC5</t>
        </is>
      </c>
      <c r="E27" s="17" t="inlineStr">
        <is>
          <t>Positive</t>
        </is>
      </c>
      <c r="F27" s="17" t="inlineStr">
        <is>
          <t>Rewritten: the story's SPM-34-TC01 is out of date (SPM-86, SPM-87, SPM-88).
Run before SPM-34-TC02-R, which continues from this case.
Run npm run fixtures:spm34 before this case. 'SPM34 Ready To Confirm' is in Planning, assigned to Daniel Tan, with an approved booking at Orchard Seminar Room and Handheld Wireless Mic (Reserved). Logged in as Daniel Tan. SPM-34-TC02 and SPM-34-TC03 read the result, so go straight to them and run npm run fixtures:spm34 after SPM-34-TC03.</t>
        </is>
      </c>
      <c r="G27" s="17" t="inlineStr">
        <is>
          <t>Event: SPM34 Ready To Confirm (Planning) | Safety Officer: Hana Yusof</t>
        </is>
      </c>
      <c r="H27" s="17" t="inlineStr">
        <is>
          <t>1. Click 'All Events' in the sidebar and open 'SPM34 Ready To Confirm'
2. Click 'Submit for safety check'
3. Click 'Submit' in the dialog
4. Log out, then log in as hana.yusof@connectsphere.com / password123
5. Click 'Safety Checks' in the sidebar and open 'SPM34 Ready To Confirm'
6. Click 'Record safety decision', choose 'Approve' and click 'Record decision'
7. Log out, then log in as daniel.tan@connectsphere.com / password123
8. Click 'All Events' in the sidebar and open 'SPM34 Ready To Confirm'
9. Click 'Confirm event'
10. Click 'Confirm event' in the dialog</t>
        </is>
      </c>
      <c r="I27" s="17" t="inlineStr">
        <is>
          <t>Step 1: The status badge reads 'Planning', with 'Submit for safety check' and 'Confirm event' in the header.
Step 2: A dialog 'Submit for safety check?' reads 'SPM34 Ready To Confirm will move to Safety review and the Safety Officer will be notified. Anything still outstanding or flagged for review will be listed instead.'
Step 3: 'The event has been submitted for a safety check. The Safety Officer has been notified.' is shown and the status badge reads 'Safety review'.
Step 6: 'Safety check approved. The coordinator has been notified.' is shown and the status badge reads 'Safety approved'.
Step 8: The status badge reads 'Safety approved' and the 'Confirm event' button is shown.
Step 9: A dialog 'Confirm this event?' reads 'SPM34 Ready To Confirm will be marked Confirmed, and the organiser will be able to see the venue and equipment arranged for it. Anything still outstanding will be listed instead.'
Step 10: 'The event is confirmed. The organiser can now see the arrangements.' is shown and the status badge reads 'Confirmed'.</t>
        </is>
      </c>
      <c r="J27" s="7" t="n"/>
      <c r="K27" s="14" t="n"/>
      <c r="L27" s="7" t="n"/>
    </row>
    <row r="28" ht="138" customHeight="1" s="21">
      <c r="A28" s="17" t="n">
        <v>19</v>
      </c>
      <c r="B28" s="17" t="inlineStr">
        <is>
          <t>SPM-34-TC02-R</t>
        </is>
      </c>
      <c r="C28" s="17" t="inlineStr">
        <is>
          <t>The venue and equipment stay attached to the event after it is confirmed</t>
        </is>
      </c>
      <c r="D28" s="17" t="inlineStr">
        <is>
          <t>AC6</t>
        </is>
      </c>
      <c r="E28" s="17" t="inlineStr">
        <is>
          <t>Positive</t>
        </is>
      </c>
      <c r="F28" s="17" t="inlineStr">
        <is>
          <t>Rewritten: the story's SPM-34-TC02 is out of date (SPM-88).
Run straight after SPM-34-TC01-R - do not reset the fixtures in between. Run before SPM-34-TC03-R, which continues from this case.
SPM-34-TC01 has just been run ('SPM34 Ready To Confirm' is Confirmed) and the fixtures have NOT been reset since. Logged in as Daniel Tan, on the event.</t>
        </is>
      </c>
      <c r="G28" s="17" t="inlineStr">
        <is>
          <t>Event: SPM34 Ready To Confirm, now Confirmed</t>
        </is>
      </c>
      <c r="H28" s="17" t="inlineStr">
        <is>
          <t>1. Click the 'Venue' tab
2. Click the event's 'Equipment' tab (not 'Equipment' in the sidebar)</t>
        </is>
      </c>
      <c r="I28" s="17" t="inlineStr">
        <is>
          <t>Step 1: Under 'Booking requests', 'Orchard Seminar Room (ORC-SEM)' is still listed with '10 May 2027, 09:00–15:00 · Theatre' and the badge 'Approved'.
Step 2: Under 'Requested items', 'Handheld Wireless Mic' is still listed with 'Reserved' and '2 reserved'.</t>
        </is>
      </c>
      <c r="J28" s="7" t="n"/>
      <c r="K28" s="14" t="n"/>
      <c r="L28" s="7" t="n"/>
    </row>
    <row r="29" ht="108" customHeight="1" s="21">
      <c r="A29" s="17" t="n">
        <v>20</v>
      </c>
      <c r="B29" s="17" t="inlineStr">
        <is>
          <t>SPM-34-TC03-R</t>
        </is>
      </c>
      <c r="C29" s="17" t="inlineStr">
        <is>
          <t>The Organiser can see the confirmed event and its arrangements</t>
        </is>
      </c>
      <c r="D29" s="17" t="inlineStr">
        <is>
          <t>AC7, AC5</t>
        </is>
      </c>
      <c r="E29" s="17" t="inlineStr">
        <is>
          <t>Positive</t>
        </is>
      </c>
      <c r="F29" s="17" t="inlineStr">
        <is>
          <t>Rewritten: the story's SPM-34-TC03 is out of date (SPM-88).
Run straight after SPM-34-TC02-R - do not reset the fixtures in between.
SPM-34-TC02 has just been run and the fixtures have NOT been reset since. Run npm run fixtures:spm34 after this case.</t>
        </is>
      </c>
      <c r="G29" s="17" t="inlineStr">
        <is>
          <t>Account: rachel.ng@meridianfina.com (Event Organiser) | Event: SPM34 Ready To Confirm, Confirmed</t>
        </is>
      </c>
      <c r="H29" s="17" t="inlineStr">
        <is>
          <t>1. Log out, then log in as rachel.ng@meridianfina.com / password123
2. Click 'My Events' in the sidebar
3. Click 'SPM34 Ready To Confirm' in the list</t>
        </is>
      </c>
      <c r="I29" s="17" t="inlineStr">
        <is>
          <t>Step 2: 'SPM34 Ready To Confirm' is listed with '10 May 2027, 09:00–15:00', 40 and the status 'Confirmed'.
Step 3: The event shows STATUS 'Confirmed' and VENUE 'Orchard Seminar Room (ORC-SEM)'. There is no 'Confirm event' or 'Submit for safety check' button.</t>
        </is>
      </c>
      <c r="J29" s="7" t="n"/>
      <c r="K29" s="14" t="n"/>
      <c r="L29" s="7" t="n"/>
    </row>
    <row r="30" ht="243" customHeight="1" s="21">
      <c r="A30" s="17" t="n">
        <v>21</v>
      </c>
      <c r="B30" s="17" t="inlineStr">
        <is>
          <t>SPM-34-TC04-R</t>
        </is>
      </c>
      <c r="C30" s="17" t="inlineStr">
        <is>
          <t>An event that needs no equipment confirms on its venue alone</t>
        </is>
      </c>
      <c r="D30" s="17" t="inlineStr">
        <is>
          <t>AC2, AC1</t>
        </is>
      </c>
      <c r="E30" s="17" t="inlineStr">
        <is>
          <t>Positive</t>
        </is>
      </c>
      <c r="F30" s="17" t="inlineStr">
        <is>
          <t>Rewritten: the story's SPM-34-TC04 is out of date (SPM-86, SPM-87, SPM-88).
Run npm run fixtures:spm34 before and after this case. 'SPM34 Venue Only' is in Planning, assigned to Daniel Tan, with an approved booking at Orchard Seminar Room and no equipment requirements. Logged in as Daniel Tan.</t>
        </is>
      </c>
      <c r="G30" s="17" t="inlineStr">
        <is>
          <t>Event: SPM34 Venue Only (Planning) | Equipment: none recorded</t>
        </is>
      </c>
      <c r="H30" s="17" t="inlineStr">
        <is>
          <t>1. Click 'All Events' in the sidebar and open 'SPM34 Venue Only'
2. Click 'Submit for safety check'
3. Click 'Submit' in the dialog
4. Log out, then log in as hana.yusof@connectsphere.com / password123
5. Click 'Safety Checks' in the sidebar and open 'SPM34 Venue Only'
6. Click 'Record safety decision', choose 'Approve' and click 'Record decision'
7. Log out, then log in as daniel.tan@connectsphere.com / password123
8. Click 'All Events' in the sidebar and open 'SPM34 Venue Only'
9. Click 'Confirm event'
10. Click 'Confirm event' in the dialog</t>
        </is>
      </c>
      <c r="I30" s="17" t="inlineStr">
        <is>
          <t>Step 2: A dialog 'Submit for safety check?' reads 'SPM34 Venue Only will move to Safety review and the Safety Officer will be notified. Anything still outstanding or flagged for review will be listed instead.'
Step 3: 'The event has been submitted for a safety check. The Safety Officer has been notified.' is shown and the status badge reads 'Safety review'.
Step 6: 'Safety check approved. The coordinator has been notified.' is shown and the status badge reads 'Safety approved'.
Step 8: The status badge reads 'Safety approved' and the 'Confirm event' button is shown.
Step 9: A dialog 'Confirm this event?' reads 'SPM34 Venue Only will be marked Confirmed, and the organiser will be able to see the venue and equipment arranged for it. Anything still outstanding will be listed instead.'
Step 10: 'The event is confirmed. The organiser can now see the arrangements.' is shown and the status badge reads 'Confirmed'.</t>
        </is>
      </c>
      <c r="J30" s="7" t="n"/>
      <c r="K30" s="14" t="n"/>
      <c r="L30" s="7" t="n"/>
    </row>
    <row r="31" ht="20" customHeight="1" s="21">
      <c r="A31" s="6" t="inlineStr">
        <is>
          <t>SPM-94  Limit Who Sees a Request's Review Outcome  -  run npm run fixtures:spm94 before its first case</t>
        </is>
      </c>
      <c r="B31" s="16" t="n"/>
      <c r="C31" s="16" t="n"/>
      <c r="D31" s="16" t="n"/>
      <c r="E31" s="16" t="n"/>
      <c r="F31" s="16" t="n"/>
      <c r="G31" s="16" t="n"/>
      <c r="H31" s="16" t="n"/>
      <c r="I31" s="16" t="n"/>
      <c r="J31" s="16" t="n"/>
      <c r="K31" s="16" t="n"/>
      <c r="L31" s="16" t="n"/>
    </row>
    <row r="32" ht="138" customHeight="1" s="21">
      <c r="A32" s="17" t="n">
        <v>22</v>
      </c>
      <c r="B32" s="17" t="inlineStr">
        <is>
          <t>SPM-94-TC01</t>
        </is>
      </c>
      <c r="C32" s="17" t="inlineStr">
        <is>
          <t>The Event Organiser who raised a rejected request sees its rejection reason</t>
        </is>
      </c>
      <c r="D32" s="17" t="inlineStr">
        <is>
          <t>AC1</t>
        </is>
      </c>
      <c r="E32" s="17" t="inlineStr">
        <is>
          <t>Positive</t>
        </is>
      </c>
      <c r="F32" s="17" t="inlineStr">
        <is>
          <t>npm run fixtures:spm94 has been run (it recreates the SPM94 events without reseeding). Logged out.</t>
        </is>
      </c>
      <c r="G32" s="17" t="inlineStr">
        <is>
          <t>Event Organiser (owner): rachel.ng@meridianfina.com
Password: password123
Event: SPM94 Meridian Rejected Gala (Rejected, organiser Rachel Ng, coordinator Daniel Tan)
Rejection reason: The requested ballroom is closed for renovation in November 2027.</t>
        </is>
      </c>
      <c r="H32" s="17" t="inlineStr">
        <is>
          <t>1. Log in as rachel.ng@meridianfina.com with password123
2. Click 'My Events' in the sidebar
3. Choose 'Rejected' in 'Filter by status'
4. Click the 'SPM94 Meridian Rejected Gala' row</t>
        </is>
      </c>
      <c r="I32" s="17" t="inlineStr">
        <is>
          <t>Step 2: The My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c r="J32" s="7" t="n"/>
      <c r="K32" s="14" t="n"/>
      <c r="L32" s="7" t="n"/>
    </row>
    <row r="33" ht="20" customHeight="1" s="21">
      <c r="A33" s="6" t="inlineStr">
        <is>
          <t>SPM-36  Mark Event as Completed  -  run npm run fixtures:spm36 before its first case</t>
        </is>
      </c>
      <c r="B33" s="16" t="n"/>
      <c r="C33" s="16" t="n"/>
      <c r="D33" s="16" t="n"/>
      <c r="E33" s="16" t="n"/>
      <c r="F33" s="16" t="n"/>
      <c r="G33" s="16" t="n"/>
      <c r="H33" s="16" t="n"/>
      <c r="I33" s="16" t="n"/>
      <c r="J33" s="16" t="n"/>
      <c r="K33" s="16" t="n"/>
      <c r="L33" s="16" t="n"/>
    </row>
    <row r="34" ht="213" customHeight="1" s="21">
      <c r="A34" s="17" t="n">
        <v>23</v>
      </c>
      <c r="B34" s="17" t="inlineStr">
        <is>
          <t>SPM-36-TC01</t>
        </is>
      </c>
      <c r="C34" s="17" t="inlineStr">
        <is>
          <t>The assigned Event Coordinator marks a Confirmed event that ended yesterday as completed, and it shows as Completed</t>
        </is>
      </c>
      <c r="D34" s="17" t="inlineStr">
        <is>
          <t>AC1, AC3</t>
        </is>
      </c>
      <c r="E34" s="17" t="inlineStr">
        <is>
          <t>Positive</t>
        </is>
      </c>
      <c r="F34" s="17" t="inlineStr">
        <is>
          <t>THIS RUN: SPM-36-TC03 is not selected. Skip it, and run the fixture script once the selected cases that follow on from this one are done.
Run npm run fixtures:spm36 just before this case. 'SPM36 Harbour Awards Night' is Confirmed, organised by Rachel Ng (Meridian Financial Group), coordinator Daniel Tan, and ended yesterday evening (19:00-22:00) - the script sets it to yesterday on every run. It has an approved booking for Orchard Gallery (ORC-GAL) and two reserved equipment lines. Logged in as Daniel Tan (daniel.tan@connectsphere.com / password123). Go straight on to SPM-36-TC02 and SPM-36-TC03, then run npm run fixtures:spm36 again.</t>
        </is>
      </c>
      <c r="G34" s="17" t="inlineStr">
        <is>
          <t>Event: SPM36 Harbour Awards Night | Coordinator: Daniel Tan</t>
        </is>
      </c>
      <c r="H34" s="17" t="inlineStr">
        <is>
          <t>1. Click 'All Events' in the sidebar and open 'SPM36 Harbour Awards Night'
2. Click 'Mark as completed'
3. Click 'Mark as completed' in the dialog
4. Click 'All Events' in the sidebar</t>
        </is>
      </c>
      <c r="I34" s="17" t="inlineStr">
        <is>
          <t>Step 1: The event's Overview shows the status 'Confirmed' and a 'Mark as completed' button.
Step 2: A dialog 'Mark this event as completed?' appears, saying 'SPM36 Harbour Awards Night will be marked Completed. Its venue and equipment stay on record, and its status can't be changed after this.', with 'Mark as completed' and 'Not yet'.
Step 3: The dialog closes, the message 'SPM36 Harbour Awards Night has been marked as completed.' appears, the status changes to 'Completed', the 'Mark as completed' button is gone, and the Venue row still reads 'Orchard Gallery (ORC-GAL)'.
Step 4: 'SPM36 Harbour Awards Night' is listed with the status 'Completed'.</t>
        </is>
      </c>
      <c r="J34" s="7" t="n"/>
      <c r="K34" s="14" t="n"/>
      <c r="L34" s="7" t="n"/>
    </row>
    <row r="35" ht="108" customHeight="1" s="21">
      <c r="A35" s="17" t="n">
        <v>24</v>
      </c>
      <c r="B35" s="17" t="inlineStr">
        <is>
          <t>SPM-36-TC02</t>
        </is>
      </c>
      <c r="C35" s="17" t="inlineStr">
        <is>
          <t>The Event Organiser can view a completed event with its venue and equipment still on record</t>
        </is>
      </c>
      <c r="D35" s="17" t="inlineStr">
        <is>
          <t>AC4, AC3</t>
        </is>
      </c>
      <c r="E35" s="17" t="inlineStr">
        <is>
          <t>Positive</t>
        </is>
      </c>
      <c r="F35" s="17" t="inlineStr">
        <is>
          <t>SPM-36-TC01 has just been run ('SPM36 Harbour Awards Night' is Completed). Logged in as Rachel Ng (rachel.ng@meridianfina.com / password123), the organiser.</t>
        </is>
      </c>
      <c r="G35" s="17" t="inlineStr">
        <is>
          <t>Organiser: Rachel Ng | Event: SPM36 Harbour Awards Night</t>
        </is>
      </c>
      <c r="H35" s="17" t="inlineStr">
        <is>
          <t>1. Click 'My Events' in the sidebar
2. Open 'SPM36 Harbour Awards Night'
3. Click the 'Equipment' tab</t>
        </is>
      </c>
      <c r="I35" s="17" t="inlineStr">
        <is>
          <t>Step 1: 'SPM36 Harbour Awards Night' is listed with the status 'Completed'.
Step 2: The Overview shows the status 'Completed', the coordinator Daniel Tan, and the Venue row 'Orchard Gallery (ORC-GAL)'. There is no 'Request a change' button.
Step 3: Both equipment lines are still listed - Handheld Wireless Mic, quantity 2, and Audio Mixing Desk, quantity 1, each with the status 'Reserved' - and none of them can be edited.</t>
        </is>
      </c>
      <c r="J35" s="7" t="n"/>
      <c r="K35" s="14" t="n"/>
      <c r="L35" s="7" t="n"/>
    </row>
    <row r="36" ht="123" customHeight="1" s="21">
      <c r="A36" s="17" t="n">
        <v>25</v>
      </c>
      <c r="B36" s="17" t="inlineStr">
        <is>
          <t>SPM-36-TC06</t>
        </is>
      </c>
      <c r="C36" s="17" t="inlineStr">
        <is>
          <t>A Confirmed event 7 days past its end is completed automatically, while one that was never confirmed is left alone</t>
        </is>
      </c>
      <c r="D36" s="17" t="inlineStr">
        <is>
          <t>AC6, AC2, AC3</t>
        </is>
      </c>
      <c r="E36" s="17" t="inlineStr">
        <is>
          <t>Positive</t>
        </is>
      </c>
      <c r="F36" s="17" t="inlineStr">
        <is>
          <t>Run npm run fixtures:spm36 just before this case. It recreates 'SPM36 Forgotten Trade Expo' as Confirmed, although it ended on 1 Oct 2026 at 17:00 - more than 7 days ago - with an approved booking for Marina Auditorium (MAR-AUD). 'SPM36 Overdue Planning Forum' is in Planning and ended on 5 Oct 2026. Logged in as Daniel Tan (daniel.tan@connectsphere.com / password123).</t>
        </is>
      </c>
      <c r="G36" s="17" t="inlineStr">
        <is>
          <t>Auto-completed: SPM36 Forgotten Trade Expo (ended 1 Oct 2026) | Left alone: SPM36 Overdue Planning Forum (Planning)</t>
        </is>
      </c>
      <c r="H36" s="17" t="inlineStr">
        <is>
          <t>1. Click 'All Events' in the sidebar
2. Open 'SPM36 Forgotten Trade Expo'
3. Click 'All Events' in the sidebar and open 'SPM36 Overdue Planning Forum'</t>
        </is>
      </c>
      <c r="I36" s="17" t="inlineStr">
        <is>
          <t>Step 1: 'SPM36 Forgotten Trade Expo' is listed with the status 'Completed', without anyone having marked it.
Step 2: The Overview shows the status 'Completed', no 'Mark as completed' button, and the Venue row still reads 'Marina Auditorium (MAR-AUD)'.
Step 3: The status is still 'Planning'.</t>
        </is>
      </c>
      <c r="J36" s="7" t="n"/>
      <c r="K36" s="14" t="n"/>
      <c r="L36" s="7" t="n"/>
    </row>
    <row r="37" ht="20" customHeight="1" s="21">
      <c r="A37" s="6" t="inlineStr">
        <is>
          <t>SPM-37  Cancel Event  -  run npm run fixtures:spm37 before its first case</t>
        </is>
      </c>
      <c r="B37" s="16" t="n"/>
      <c r="C37" s="16" t="n"/>
      <c r="D37" s="16" t="n"/>
      <c r="E37" s="16" t="n"/>
      <c r="F37" s="16" t="n"/>
      <c r="G37" s="16" t="n"/>
      <c r="H37" s="16" t="n"/>
      <c r="I37" s="16" t="n"/>
      <c r="J37" s="16" t="n"/>
      <c r="K37" s="16" t="n"/>
      <c r="L37" s="16" t="n"/>
    </row>
    <row r="38" ht="378" customHeight="1" s="21">
      <c r="A38" s="17" t="n">
        <v>26</v>
      </c>
      <c r="B38" s="17" t="inlineStr">
        <is>
          <t>SPM-37-TC01</t>
        </is>
      </c>
      <c r="C38" s="17" t="inlineStr">
        <is>
          <t>The assigned Coordinator cancels a Planning event with a reason, which releases its approved booking, withdraws its pending request at a second venue and releases its equipment</t>
        </is>
      </c>
      <c r="D38" s="17" t="inlineStr">
        <is>
          <t>AC1, AC3, AC4, AC8</t>
        </is>
      </c>
      <c r="E38" s="17" t="inlineStr">
        <is>
          <t>Positive</t>
        </is>
      </c>
      <c r="F38" s="17" t="inlineStr">
        <is>
          <t>READ FIRST: A closed-event message now reads 'completed, cancelled, rejected or withdrawn' instead of 'completed, cancelled or rejected' (SPM-59). The rest of this case is unchanged.
THIS RUN: SPM-37-TC02 is not selected. Skip it, and run the fixture script once the selected cases that follow on from this one are done.
Run `npm run fixtures:spm37` before this case. Do not run it again afterwards: go straight on to SPM-37-TC02, and reset after that one.
'SPM37 Harbour Summit' (2 Nov 2027, 09:00–12:00) is in Planning, coordinated by Daniel Tan. It has an Approved booking for SPM37 Hall, a Pending request for SPM37 Studio, 2 × SPM37 Projector Reserved and 1 × SPM37 Lectern Mic Requested. Registration is off.
Logged out.</t>
        </is>
      </c>
      <c r="G38" s="17" t="inlineStr">
        <is>
          <t>Coordinator: Daniel Tan
Event: SPM37 Harbour Summit | When: 2 Nov 2027, 09:00–12:00
Bookings: SPM37 Hall (SPM37-HAL), Approved | SPM37 Studio (SPM37-STU), Pending
Equipment: 2 × SPM37 Projector, Reserved | 1 × SPM37 Lectern Mic, Requested
Reason: The client has called off the summit after losing its keynote sponsor.</t>
        </is>
      </c>
      <c r="H38" s="17" t="inlineStr">
        <is>
          <t>1. Log in as daniel.tan@connectsphere.com / password123
2. Click 'All Events' in the sidebar and open 'SPM37 Harbour Summit'
3. Click 'Cancel event'
4. Type the reason in 'Reason (optional)'
5. Click 'Cancel event' in the dialog
6. Click the 'Venue' tab
7. Click the 'Equipment' tab</t>
        </is>
      </c>
      <c r="I38" s="17" t="inlineStr">
        <is>
          <t>Step 2: The Overview shows the 'Planning' badge, and the header has a 'Cancel event' button.
Step 3: A dialog 'Cancel this event?' reads 'SPM37 Harbour Summit will be marked Cancelled. This can't be undone.' Under 'Cancelling will:' it lists, in this order: 'Release SPM37 Hall (SPM37-HAL) on 2 Nov 2027, 09:00–12:00', 'Withdraw the request for SPM37 Studio (SPM37-STU) on 2 Nov 2027, 09:00–12:00', 'Release 2 × SPM37 Projector' and 'Cancel the request for 1 × SPM37 Lectern Mic'. It has an empty 'Reason (optional)' box and the buttons 'Cancel event' and 'Keep event'.
Step 5: The dialog closes. A green alert reads 'The event has been cancelled. Its venue bookings and equipment have been released.' The badge reads 'Cancelled'. A red alert 'This event was cancelled' reads 'The client has called off the summit after losing its keynote sponsor.' The header no longer has 'Cancel event'.
Step 6: The 'Booking requests' card lists 'SPM37 Hall (SPM37-HAL)' with a grey 'Released' badge and the line 'Reason for release: Event cancelled: The client has called off the summit after losing its keynote sponsor.', and 'SPM37 Studio (SPM37-STU)' with a grey 'Withdrawn' badge and the line 'Reason for withdrawal: Event cancelled: The client has called off the summit after losing its keynote sponsor.' Neither row has a 'Release booking' or 'Withdraw request' button. A blue alert reads 'A venue cannot be requested for a completed, cancelled or rejected event.'
Step 7: A blue alert reads 'This event is cancelled — equipment requirements can no longer be changed.' The 'SPM37 Projector' and 'SPM37 Lectern Mic' lines both have the 'Cancelled' badge.</t>
        </is>
      </c>
      <c r="J38" s="7" t="n"/>
      <c r="K38" s="14" t="n"/>
      <c r="L38" s="7" t="n"/>
    </row>
    <row r="39" ht="198" customHeight="1" s="21">
      <c r="A39" s="17" t="n">
        <v>27</v>
      </c>
      <c r="B39" s="17" t="inlineStr">
        <is>
          <t>SPM-37-TC04</t>
        </is>
      </c>
      <c r="C39" s="17" t="inlineStr">
        <is>
          <t>Cancelling an event in Safety review closes its pending safety check, so the Safety Officer no longer sees it to review</t>
        </is>
      </c>
      <c r="D39" s="17" t="inlineStr">
        <is>
          <t>AC6, AC1</t>
        </is>
      </c>
      <c r="E39" s="17" t="inlineStr">
        <is>
          <t>Positive</t>
        </is>
      </c>
      <c r="F39" s="17" t="inlineStr">
        <is>
          <t>Run `npm run fixtures:spm37` before this case, and again after it.
'SPM37 Safety Pending' (18 Nov 2027, 09:00–12:00, Daniel Tan) is in Safety review, with an Approved booking for SPM37 Hall and a pending Operational Safety Check that Daniel Tan submitted.
Logged out.</t>
        </is>
      </c>
      <c r="G39" s="17" t="inlineStr">
        <is>
          <t>Safety Officer: Hana Yusof | Coordinator: Daniel Tan
Event: SPM37 Safety Pending | When: 18 Nov 2027, 09:00–12:00 | Status: Safety review</t>
        </is>
      </c>
      <c r="H39" s="17" t="inlineStr">
        <is>
          <t>1. Log in as hana.yusof@connectsphere.com / password123
2. Click 'Safety Checks' in the sidebar
3. Log out
4. Log in as daniel.tan@connectsphere.com / password123
5. Click 'All Events' in the sidebar and open 'SPM37 Safety Pending'
6. Click 'Cancel event'
7. Click 'Cancel event' in the dialog
8. Log out
9. Log in as hana.yusof@connectsphere.com / password123
10. Click 'Safety Checks' in the sidebar
11. Click 'All Events' in the sidebar and open 'SPM37 Safety Pending'</t>
        </is>
      </c>
      <c r="I39" s="17" t="inlineStr">
        <is>
          <t>Step 2: 'SPM37 Safety Pending' is listed, submitted by Daniel Tan.
Step 5: The badge reads 'Safety review'.
Step 6: The dialog 'Cancel this event?' lists 'Release SPM37 Hall (SPM37-HAL) on 18 Nov 2027, 09:00–12:00' and 'Close the pending safety check'.
Step 7: The badge reads 'Cancelled'.
Step 10: 'SPM37 Safety Pending' is not listed.
Step 11: The Overview shows the 'Cancelled' badge, and the header has no 'Record safety decision' button.</t>
        </is>
      </c>
      <c r="J39" s="7" t="n"/>
      <c r="K39" s="14" t="n"/>
      <c r="L39" s="7" t="n"/>
    </row>
    <row r="40" ht="138" customHeight="1" s="21">
      <c r="A40" s="17" t="n">
        <v>28</v>
      </c>
      <c r="B40" s="17" t="inlineStr">
        <is>
          <t>SPM-37-TC05</t>
        </is>
      </c>
      <c r="C40" s="17" t="inlineStr">
        <is>
          <t>Cancelling an event closes its pending change request without applying the date it proposed</t>
        </is>
      </c>
      <c r="D40" s="17" t="inlineStr">
        <is>
          <t>AC5</t>
        </is>
      </c>
      <c r="E40" s="17" t="inlineStr">
        <is>
          <t>Positive</t>
        </is>
      </c>
      <c r="F40" s="17" t="inlineStr">
        <is>
          <t>Run `npm run fixtures:spm37` before this case, and again after it.
'SPM37 Change Pending' (23 Nov 2027, 09:00–12:00, Confirmed, Daniel Tan; organiser Rachel Ng) has one pending change request from Rachel Ng that proposes moving it to 30 Nov 2027, 09:00–12:00. No screen lists change requests yet (SPM-35 and SPM-32), so the fixture creates it.
Logged out.</t>
        </is>
      </c>
      <c r="G40" s="17" t="inlineStr">
        <is>
          <t>Coordinator: Daniel Tan | Organiser: Rachel Ng
Event: SPM37 Change Pending | When: 23 Nov 2027, 09:00–12:00
Pending change request: move to 30 Nov 2027, 09:00–12:00</t>
        </is>
      </c>
      <c r="H40" s="17" t="inlineStr">
        <is>
          <t>1. Log in as daniel.tan@connectsphere.com / password123
2. Click 'All Events' in the sidebar and open 'SPM37 Change Pending'
3. Click 'Cancel event'
4. Click 'Cancel event' in the dialog
5. Log out
6. Log in as rachel.ng@meridianfina.com / password123
7. Click 'My Events' in the sidebar and open 'SPM37 Change Pending'</t>
        </is>
      </c>
      <c r="I40" s="17" t="inlineStr">
        <is>
          <t>Step 2: The badge reads 'Confirmed', and the 'When' row reads '23 Nov 2027, 09:00–12:00'.
Step 3: The dialog 'Cancel this event?' lists 'Close 1 pending change request'.
Step 4: The badge reads 'Cancelled'. The 'When' row still reads '23 Nov 2027, 09:00–12:00'.
Step 7: The organiser sees the 'Cancelled' badge, and the 'When' row reads '23 Nov 2027, 09:00–12:00'.</t>
        </is>
      </c>
      <c r="J40" s="7" t="n"/>
      <c r="K40" s="14" t="n"/>
      <c r="L40" s="7" t="n"/>
    </row>
    <row r="41" ht="288" customHeight="1" s="21">
      <c r="A41" s="17" t="n">
        <v>29</v>
      </c>
      <c r="B41" s="17" t="inlineStr">
        <is>
          <t>SPM-37-TC06</t>
        </is>
      </c>
      <c r="C41" s="17" t="inlineStr">
        <is>
          <t>Cancelling a Confirmed event with open registration takes it off Browse Events, and a registered attendee keeps the registration, can no longer withdraw, and can open the event to see why it was cancelled</t>
        </is>
      </c>
      <c r="D41" s="17" t="inlineStr">
        <is>
          <t>AC7, AC8</t>
        </is>
      </c>
      <c r="E41" s="17" t="inlineStr">
        <is>
          <t>Positive</t>
        </is>
      </c>
      <c r="F41" s="17" t="inlineStr">
        <is>
          <t>Run `npm run fixtures:spm37` before this case, and again after it.
'SPM37 Open Workshop' (25 Nov 2027, 09:00–12:00, Confirmed, Daniel Tan) has registration on, 40 places, open from 1 Oct 2026, 09:00 to 24 Nov 2027, 17:00. Lee Wei Ming is registered; nobody is on the waiting list. Anita Devi is not registered.
Logged out.</t>
        </is>
      </c>
      <c r="G41" s="17" t="inlineStr">
        <is>
          <t>Attendees: Anita Devi (not registered), Lee Wei Ming (registered) | Coordinator: Daniel Tan
Event: SPM37 Open Workshop | When: 25 Nov 2027, 09:00–12:00
Registration: 40 places, open 1 Oct 2026, 09:00 – 24 Nov 2027, 17:00
Reason: The trainer is unavailable and no replacement could be found.</t>
        </is>
      </c>
      <c r="H41" s="17" t="inlineStr">
        <is>
          <t>1. Log in as anita.devi@example.com / password123
2. Click 'Browse Events' in the sidebar
3. Log out
4. Log in as lee.wei.ming@example.com / password123
5. Click 'My Registrations' in the sidebar
6. Log out
7. Log in as daniel.tan@connectsphere.com / password123
8. Click 'All Events' in the sidebar and open 'SPM37 Open Workshop'
9. Click 'Cancel event'
10. Type the reason in 'Reason (optional)'
11. Click 'Cancel event' in the dialog
12. Log out
13. Log in as anita.devi@example.com / password123
14. Click 'Browse Events' in the sidebar
15. Log out
16. Log in as lee.wei.ming@example.com / password123
17. Click 'My Registrations' in the sidebar
18. Click the 'SPM37 Open Workshop' row</t>
        </is>
      </c>
      <c r="I41" s="17" t="inlineStr">
        <is>
          <t>Step 2: 'SPM37 Open Workshop' is listed with the 'Open' badge.
Step 5: The 'SPM37 Open Workshop' row has the 'Registered' badge and a 'Withdraw' button.
Step 9: The dialog 'Cancel this event?' lists 'Close registration: 1 registered, 0 on the waiting list'.
Step 11: The badge reads 'Cancelled'.
Step 14: 'SPM37 Open Workshop' is not listed.
Step 17: The 'SPM37 Open Workshop' row is still listed with the 'Registered' badge, and it has no 'Withdraw' button.
Step 18: The event opens with the 'Cancelled' badge. A red alert 'This event was cancelled' reads 'The trainer is unavailable and no replacement could be found.' There is no 'Register' or 'Withdraw' button.</t>
        </is>
      </c>
      <c r="J41" s="7" t="n"/>
      <c r="K41" s="14" t="n"/>
      <c r="L41" s="7" t="n"/>
    </row>
    <row r="42" ht="20" customHeight="1" s="21">
      <c r="A42" s="6" t="inlineStr">
        <is>
          <t>SPM-38  Postpone Event  -  run npm run fixtures:spm38 before its first case</t>
        </is>
      </c>
      <c r="B42" s="16" t="n"/>
      <c r="C42" s="16" t="n"/>
      <c r="D42" s="16" t="n"/>
      <c r="E42" s="16" t="n"/>
      <c r="F42" s="16" t="n"/>
      <c r="G42" s="16" t="n"/>
      <c r="H42" s="16" t="n"/>
      <c r="I42" s="16" t="n"/>
      <c r="J42" s="16" t="n"/>
      <c r="K42" s="16" t="n"/>
      <c r="L42" s="16" t="n"/>
    </row>
    <row r="43" ht="393" customHeight="1" s="21">
      <c r="A43" s="17" t="n">
        <v>30</v>
      </c>
      <c r="B43" s="17" t="inlineStr">
        <is>
          <t>SPM-38-TC01</t>
        </is>
      </c>
      <c r="C43" s="17" t="inlineStr">
        <is>
          <t>The assigned Coordinator postpones a Planning event with a reason, which releases its approved booking, withdraws its pending request at a second venue and releases its equipment, and keeps the event</t>
        </is>
      </c>
      <c r="D43" s="17" t="inlineStr">
        <is>
          <t>AC1, AC3, AC5</t>
        </is>
      </c>
      <c r="E43" s="17" t="inlineStr">
        <is>
          <t>Positive</t>
        </is>
      </c>
      <c r="F43" s="17" t="inlineStr">
        <is>
          <t>THIS RUN: SPM-38-TC02 is not selected. Skip it, and run the fixture script once the selected cases that follow on from this one are done.
Run `npm run fixtures:spm38` before this case. Do not run it again afterwards: go straight on to SPM-38-TC02, and reset after that one.
'SPM38 Lantern Gala' (12 Jan 2028, 09:00–12:00) is in Planning, coordinated by Daniel Tan. It has an Approved booking for SPM38 Hall, a Pending request for SPM38 Studio, 2 × SPM38 Projector Reserved and 1 × SPM38 Lectern Mic Requested. Registration is off.
Logged out.</t>
        </is>
      </c>
      <c r="G43" s="17" t="inlineStr">
        <is>
          <t>Coordinator: Daniel Tan
Event: SPM38 Lantern Gala | When: 12 Jan 2028, 09:00–12:00
Bookings: SPM38 Hall (SPM38-HAL), Approved | SPM38 Studio (SPM38-STU), Pending
Equipment: 2 × SPM38 Projector, Reserved | 1 × SPM38 Lectern Mic, Requested
Reason: The client is waiting on board approval before choosing a new date.</t>
        </is>
      </c>
      <c r="H43" s="17" t="inlineStr">
        <is>
          <t>1. Log in as daniel.tan@connectsphere.com / password123
2. Click 'All Events' in the sidebar and open 'SPM38 Lantern Gala'
3. Click 'Postpone event'
4. Type the reason in 'Reason (optional)'
5. Click 'Postpone event' in the dialog
6. Click the 'Venue' tab
7. Click the 'Equipment' tab</t>
        </is>
      </c>
      <c r="I43" s="17" t="inlineStr">
        <is>
          <t>Step 2: The Overview shows the 'Planning' badge, and the header has 'Postpone event' and 'Cancel event' buttons.
Step 3: A dialog 'Postpone this event?' reads 'SPM38 Lantern Gala will be marked Postponed. Its new date is set later, through a change request.' Under 'Postponing will:' it lists, in this order: 'Release SPM38 Hall (SPM38-HAL) on 12 Jan 2028, 09:00–12:00', 'Withdraw the request for SPM38 Studio (SPM38-STU) on 12 Jan 2028, 09:00–12:00', 'Release 2 × SPM38 Projector' and 'Cancel the request for 1 × SPM38 Lectern Mic'. It has an empty 'Reason (optional)' box and the buttons 'Postpone event' and 'Keep event'.
Step 5: The dialog closes. A green alert reads 'The event has been postponed. Its venue bookings and equipment have been released.' The badge reads 'Postponed'. An amber alert 'This event is postponed' reads 'The client is waiting on board approval before choosing a new date.' The 'When' row still reads '12 Jan 2028, 09:00–12:00'. The header no longer has 'Postpone event', and still has 'Cancel event'.
Step 6: The 'Booking requests' card lists 'SPM38 Hall (SPM38-HAL)' with a grey 'Released' badge and the line 'Reason for release: Event postponed: The client is waiting on board approval before choosing a new date.', and 'SPM38 Studio (SPM38-STU)' with a grey 'Withdrawn' badge and the line 'Reason for withdrawal: Event postponed: The client is waiting on board approval before choosing a new date.' Neither row has a 'Release booking' or 'Withdraw request' button. A blue alert reads 'A venue cannot be requested while the event is postponed. Its new date comes through a change request first.'
Step 7: A blue alert reads 'This event is postponed — equipment requirements can't be changed until it has a new date.' The 'SPM38 Projector' and 'SPM38 Lectern Mic' lines both have the 'Cancelled' badge.</t>
        </is>
      </c>
      <c r="J43" s="7" t="n"/>
      <c r="K43" s="14" t="n"/>
      <c r="L43" s="7" t="n"/>
    </row>
    <row r="44" ht="168" customHeight="1" s="21">
      <c r="A44" s="17" t="n">
        <v>31</v>
      </c>
      <c r="B44" s="17" t="inlineStr">
        <is>
          <t>SPM-38-TC06</t>
        </is>
      </c>
      <c r="C44" s="17" t="inlineStr">
        <is>
          <t>Postponing an event approves the organiser's pending postponement request, and leaves their pending change of details for the Coordinator to decide</t>
        </is>
      </c>
      <c r="D44" s="17" t="inlineStr">
        <is>
          <t>AC2, AC1</t>
        </is>
      </c>
      <c r="E44" s="17" t="inlineStr">
        <is>
          <t>Positive</t>
        </is>
      </c>
      <c r="F44" s="17" t="inlineStr">
        <is>
          <t>Run `npm run fixtures:spm38` before this case, and again after it.
'SPM38 Client Asks' (28 Jan 2028, 09:00–12:00, Confirmed, Daniel Tan; organiser Rachel Ng) has two pending change requests from Rachel Ng: a Postponement with the reason 'Our keynote speaker has withdrawn; we will confirm a new date once we have a replacement.', and a Change of details proposing an expected attendance of 45 instead of 30.
Logged out.</t>
        </is>
      </c>
      <c r="G44" s="17" t="inlineStr">
        <is>
          <t>Coordinator: Daniel Tan | Organiser: Rachel Ng
Event: SPM38 Client Asks | When: 28 Jan 2028, 09:00–12:00 | Status: Confirmed
Pending: Postponement | Change of details (Expected attendance 30 → 45)
Reason: Postponed at the client's request: the keynote speaker has withdrawn.</t>
        </is>
      </c>
      <c r="H44" s="17" t="inlineStr">
        <is>
          <t>1. Log in as daniel.tan@connectsphere.com / password123
2. Click 'All Events' in the sidebar and open 'SPM38 Client Asks'
3. Click 'Postpone event'
4. Type the reason in 'Reason (optional)'
5. Click 'Postpone event' in the dialog
6. Log out
7. Log in as rachel.ng@meridianfina.com / password123
8. Click 'My Events' in the sidebar and open 'SPM38 Client Asks'</t>
        </is>
      </c>
      <c r="I44" s="17" t="inlineStr">
        <is>
          <t>Step 2: The badge reads 'Confirmed'. The 'Change requests' card lists a 'Postponement' and a 'Change of details', both with the 'Pending' badge.
Step 3: The dialog 'Postpone this event?' lists 'Approve 1 postponement request'. It has no line about the change of details.
Step 5: The badge reads 'Postponed'. In the 'Change requests' card the 'Postponement' has the 'Approved' badge, and the 'Change of details' still has the 'Pending' badge with 'Expected attendance' proposed as 45.
Step 8: The organiser sees the 'Postponed' badge and the amber alert 'This event is postponed' reading 'Postponed at the client's request: the keynote speaker has withdrawn.' The 'Change requests' card shows the 'Postponement' as 'Approved' and the 'Change of details' as 'Pending'.</t>
        </is>
      </c>
      <c r="J44" s="7" t="n"/>
      <c r="K44" s="14" t="n"/>
      <c r="L44" s="7" t="n"/>
    </row>
    <row r="45" ht="288" customHeight="1" s="21">
      <c r="A45" s="17" t="n">
        <v>32</v>
      </c>
      <c r="B45" s="17" t="inlineStr">
        <is>
          <t>SPM-38-TC07</t>
        </is>
      </c>
      <c r="C45" s="17" t="inlineStr">
        <is>
          <t>Postponing a Confirmed event with open registration takes it off Browse Events, and a registered attendee keeps the registration and can open the event to see that it is postponed and why</t>
        </is>
      </c>
      <c r="D45" s="17" t="inlineStr">
        <is>
          <t>AC8, AC5</t>
        </is>
      </c>
      <c r="E45" s="17" t="inlineStr">
        <is>
          <t>Positive</t>
        </is>
      </c>
      <c r="F45" s="17" t="inlineStr">
        <is>
          <t>Run `npm run fixtures:spm38` before this case, and again after it.
'SPM38 Open Workshop' (2 Feb 2028, 09:00–12:00, Confirmed, Daniel Tan) has registration on, 40 places, open from 1 Oct 2026, 09:00 to 1 Feb 2028, 17:00. Lee Wei Ming is registered; nobody is on the waiting list. Anita Devi is not registered.
Logged out.</t>
        </is>
      </c>
      <c r="G45" s="17" t="inlineStr">
        <is>
          <t>Attendees: Anita Devi (not registered), Lee Wei Ming (registered) | Coordinator: Daniel Tan
Event: SPM38 Open Workshop | When: 2 Feb 2028, 09:00–12:00
Registration: 40 places, open 1 Oct 2026, 09:00 – 1 Feb 2028, 17:00
Reason: The trainer is unwell; a new date will follow.</t>
        </is>
      </c>
      <c r="H45" s="17" t="inlineStr">
        <is>
          <t>1. Log in as anita.devi@example.com / password123
2. Click 'Browse Events' in the sidebar
3. Log out
4. Log in as lee.wei.ming@example.com / password123
5. Click 'My Registrations' in the sidebar
6. Log out
7. Log in as daniel.tan@connectsphere.com / password123
8. Click 'All Events' in the sidebar and open 'SPM38 Open Workshop'
9. Click 'Postpone event'
10. Type the reason in 'Reason (optional)'
11. Click 'Postpone event' in the dialog
12. Log out
13. Log in as anita.devi@example.com / password123
14. Click 'Browse Events' in the sidebar
15. Log out
16. Log in as lee.wei.ming@example.com / password123
17. Click 'My Registrations' in the sidebar
18. Click the 'SPM38 Open Workshop' row</t>
        </is>
      </c>
      <c r="I45" s="17" t="inlineStr">
        <is>
          <t>Step 2: 'SPM38 Open Workshop' is listed with the 'Open' badge.
Step 5: The 'SPM38 Open Workshop' row has the 'Registered' badge and a 'Withdraw' button.
Step 9: The dialog 'Postpone this event?' lists 'Pause registration until the event is confirmed again: 1 registered, 0 on the waiting list'.
Step 11: The badge reads 'Postponed'.
Step 14: 'SPM38 Open Workshop' is not listed.
Step 17: The 'SPM38 Open Workshop' row is still listed with the 'Registered' badge and a 'Withdraw' button.
Step 18: The event opens with the 'Postponed' badge. An amber alert 'This event is postponed' reads 'The trainer is unwell; a new date will follow.' There is no 'Register' button.</t>
        </is>
      </c>
      <c r="J45" s="7" t="n"/>
      <c r="K45" s="14" t="n"/>
      <c r="L45" s="7" t="n"/>
    </row>
    <row r="46" ht="213" customHeight="1" s="21">
      <c r="A46" s="17" t="n">
        <v>33</v>
      </c>
      <c r="B46" s="17" t="inlineStr">
        <is>
          <t>SPM-38-TC12</t>
        </is>
      </c>
      <c r="C46" s="17" t="inlineStr">
        <is>
          <t>The Organiser asks for a new date for a postponed event through Request a change, and the event stays Postponed until the Coordinator processes it</t>
        </is>
      </c>
      <c r="D46" s="17" t="inlineStr">
        <is>
          <t>AC6</t>
        </is>
      </c>
      <c r="E46" s="17" t="inlineStr">
        <is>
          <t>Positive</t>
        </is>
      </c>
      <c r="F46" s="17" t="inlineStr">
        <is>
          <t>Run `npm run fixtures:spm38` before this case. Do not run it again afterwards: go straight on to SPM-38-TC13, and reset after that one.
'SPM38 New Date Wanted' (23 Feb 2028, 09:00–12:00, Daniel Tan; organiser Rachel Ng) is Postponed with the reason 'Venue renovation at the client's office.' It has no venue booking, no equipment and no change requests.
Logged out.</t>
        </is>
      </c>
      <c r="G46" s="17" t="inlineStr">
        <is>
          <t>Organiser: Rachel Ng | Coordinator: Daniel Tan
Event: SPM38 New Date Wanted | When: 23 Feb 2028, 09:00–12:00 | Status: Postponed
New date: Starts at 15 Mar 2028, 09:00 | Ends at 15 Mar 2028, 12:00
Reason for the change: The renovation finishes in early March; please reschedule to 15 March.</t>
        </is>
      </c>
      <c r="H46" s="17" t="inlineStr">
        <is>
          <t>1. Log in as rachel.ng@meridianfina.com / password123
2. Click 'My Events' in the sidebar and open 'SPM38 New Date Wanted'
3. Click 'Request a change'
4. Choose 'Change the event's details' under 'What do you need?'
5. Set 'Starts at' to 15 Mar 2028, 09:00 and 'Ends at' to 15 Mar 2028, 12:00
6. Type the reason in 'Reason for the change'
7. Click 'Send change request'
8. Click 'Back to event'
9. Log out
10. Log in as daniel.tan@connectsphere.com / password123
11. Click 'Change Requests' in the sidebar</t>
        </is>
      </c>
      <c r="I46" s="17" t="inlineStr">
        <is>
          <t>Step 2: The badge reads 'Postponed', and the header has a 'Request a change' button.
Step 3: The 'Request a change' page opens with 'What do you need?' offering 'Change the event's details', 'Postpone the event' and 'Cancel the event'.
Step 7: A green alert 'Change request sent to your coordinator.' reads 'Nothing about the event changes until your coordinator processes the request.'
Step 8: The badge still reads 'Postponed', and the 'When' row still reads '23 Feb 2028, 09:00–12:00'. The 'Change requests' card lists a 'Change of details' with the 'Pending' badge, proposing 'Starts at' 15 Mar 2028, 09:00 and 'Ends at' 15 Mar 2028, 12:00.
Step 11: The request for 'SPM38 New Date Wanted' is listed as a 'Change of details' with the 'Pending' badge, requested by Rachel Ng.</t>
        </is>
      </c>
      <c r="J46" s="7" t="n"/>
      <c r="K46" s="14" t="n"/>
      <c r="L46" s="7" t="n"/>
    </row>
    <row r="47" ht="273" customHeight="1" s="21">
      <c r="A47" s="17" t="n">
        <v>34</v>
      </c>
      <c r="B47" s="17" t="inlineStr">
        <is>
          <t>SPM-38-TC13</t>
        </is>
      </c>
      <c r="C47" s="17" t="inlineStr">
        <is>
          <t>Approving a new date for a postponed event moves it to Approved, its safety check must be submitted again, and the Coordinator's first venue request begins planning again</t>
        </is>
      </c>
      <c r="D47" s="17" t="inlineStr">
        <is>
          <t>AC7, AC4</t>
        </is>
      </c>
      <c r="E47" s="17" t="inlineStr">
        <is>
          <t>Positive</t>
        </is>
      </c>
      <c r="F47" s="17" t="inlineStr">
        <is>
          <t>SPM-38-TC12 has just been run ('SPM38 New Date Wanted' is Postponed, with Rachel Ng's pending Change of details to 15 Mar 2028, 09:00–12:00).
Still logged in as Daniel Tan, on the Change Requests page.
Run `npm run fixtures:spm38` after this case.</t>
        </is>
      </c>
      <c r="G47" s="17" t="inlineStr">
        <is>
          <t>Coordinator: Daniel Tan
Event: SPM38 New Date Wanted | Old date: 23 Feb 2028, 09:00–12:00 | New date: 15 Mar 2028, 09:00–12:00
Venue: SPM38 Hall (SPM38-HAL)</t>
        </is>
      </c>
      <c r="H47" s="17" t="inlineStr">
        <is>
          <t>1. Click 'Review' on the request for 'SPM38 New Date Wanted'
2. Click 'Approve all'
3. Click 'Save decision'
4. Click 'All Events' in the sidebar and open 'SPM38 New Date Wanted'
5. Click the 'Readiness' tab
6. Click the 'Venue' tab
7. Click 'Request booking' on 'SPM38 Hall (SPM38-HAL)'
8. Click 'Submit request'
9. Click 'Continue' in the dialog
10. Click 'All Events' in the sidebar and open 'SPM38 New Date Wanted'</t>
        </is>
      </c>
      <c r="I47" s="17" t="inlineStr">
        <is>
          <t>Step 1: The 'Review change request' page opens. A blue alert reads 'This event is Postponed. Approving its new date moves it to Approved, ready for planning again.'
Step 3: A green alert 'Change request processed.' reads 'The event has moved from Postponed to Approved.'
Step 4: The badge reads 'Approved', the 'When' row reads '15 Mar 2028, 09:00–12:00', and the amber 'This event is postponed' alert is gone. The header has a 'Postpone event' button.
Step 5: Under 'Safety check', 'Safety check status' has the 'Not submitted' badge.
Step 6: The Venue tab has no 'postponed' alert, and 'SPM38 Hall (SPM38-HAL)' has a 'Request booking' button.
Step 7: The 'Request a venue booking' form opens for SPM38 Hall, with 'Date' 15 Mar 2028, 'Start time' 09:00 and 'End time' 12:00.
Step 8: A dialog 'Begin planning?' reads 'This is the first venue or equipment action for this event, so it will move from Approved to Planning.'
Step 9: A green alert reads 'Booking request sent to Venue Staff.'
Step 10: The badge reads 'Planning'.</t>
        </is>
      </c>
      <c r="J47" s="7" t="n"/>
      <c r="K47" s="14" t="n"/>
      <c r="L47" s="7" t="n"/>
    </row>
    <row r="48" ht="20" customHeight="1" s="21">
      <c r="A48" s="6" t="inlineStr">
        <is>
          <t>SPM-66  Join and Respond to Waiting List  -  run npm run fixtures:spm66 before its first case</t>
        </is>
      </c>
      <c r="B48" s="16" t="n"/>
      <c r="C48" s="16" t="n"/>
      <c r="D48" s="16" t="n"/>
      <c r="E48" s="16" t="n"/>
      <c r="F48" s="16" t="n"/>
      <c r="G48" s="16" t="n"/>
      <c r="H48" s="16" t="n"/>
      <c r="I48" s="16" t="n"/>
      <c r="J48" s="16" t="n"/>
      <c r="K48" s="16" t="n"/>
      <c r="L48" s="16" t="n"/>
    </row>
    <row r="49" ht="138" customHeight="1" s="21">
      <c r="A49" s="17" t="n">
        <v>35</v>
      </c>
      <c r="B49" s="17" t="inlineStr">
        <is>
          <t>SPM-66-TC01</t>
        </is>
      </c>
      <c r="C49" s="17" t="inlineStr">
        <is>
          <t>An Attendee viewing a full event with registration open joins its waiting list instead of registering, and is told their position</t>
        </is>
      </c>
      <c r="D49" s="17" t="inlineStr">
        <is>
          <t>AC1, AC3</t>
        </is>
      </c>
      <c r="E49" s="17" t="inlineStr">
        <is>
          <t>Positive</t>
        </is>
      </c>
      <c r="F49" s="17" t="inlineStr">
        <is>
          <t>Run npm run fixtures:spm66 just before this case, and again after it (it joins the list). 'SPM66 Harbour Summit' (8 Nov 2027) has 2 places, both taken (Uma Pillay, Tomas Reyes), registration open until 31 Oct 2027, and 2 attendees waiting: Hana Quek (1st) and Ravi Nathan (2nd). Siew Ling Goh holds no registration for it.</t>
        </is>
      </c>
      <c r="G49" s="17" t="inlineStr">
        <is>
          <t>Attendee: Siew Ling Goh | Event: SPM66 Harbour Summit (2 of 2 places taken, 2 waiting) | Dietary requirements: Vegetarian</t>
        </is>
      </c>
      <c r="H49" s="17" t="inlineStr">
        <is>
          <t>1. Log in as siew.ling.goh@example.com / password123 (Siew Ling Goh, an Attendee)
2. Click 'Browse Events' in the sidebar and open 'SPM66 Harbour Summit'
3. Type 'Vegetarian' in 'Dietary requirements'
4. Click 'Join waiting list'
5. Click 'My Registrations' in the sidebar</t>
        </is>
      </c>
      <c r="I49" s="17" t="inlineStr">
        <is>
          <t>Step 2: The 'Your registration' card shows 'Dietary requirements' and 'Accessibility requirements', then 'This event is full. You can join the waiting list instead.' and a 'Join waiting list' button. There is no 'Register' button.
Step 4: 'You're on the waiting list.' appears, and the card now shows the badge 'Waiting list', 'You're number 3 on the waiting list.' and a 'Leave waiting list' button.
Step 5: 'SPM66 Harbour Summit' is listed with the status 'Waiting list' and 'Number 3 in the queue'.</t>
        </is>
      </c>
      <c r="J49" s="7" t="n"/>
      <c r="K49" s="14" t="n"/>
      <c r="L49" s="7" t="n"/>
    </row>
    <row r="50" ht="183" customHeight="1" s="21">
      <c r="A50" s="17" t="n">
        <v>36</v>
      </c>
      <c r="B50" s="17" t="inlineStr">
        <is>
          <t>SPM-66-TC03</t>
        </is>
      </c>
      <c r="C50" s="17" t="inlineStr">
        <is>
          <t>An Attendee sees their position on the waiting list, and when the one ahead leaves the list everyone behind moves up</t>
        </is>
      </c>
      <c r="D50" s="17" t="inlineStr">
        <is>
          <t>AC3, AC4</t>
        </is>
      </c>
      <c r="E50" s="17" t="inlineStr">
        <is>
          <t>Positive</t>
        </is>
      </c>
      <c r="F50" s="17" t="inlineStr">
        <is>
          <t>Run npm run fixtures:spm66 just before this case, and again after it (Hana leaves the list). On 'SPM66 Harbour Summit', Hana Quek is 1st and Ravi Nathan 2nd on the waiting list.</t>
        </is>
      </c>
      <c r="G50" s="17" t="inlineStr">
        <is>
          <t>Event: SPM66 Harbour Summit | Leaving: Hana Quek (1st) | Behind her: Ravi Nathan (2nd)</t>
        </is>
      </c>
      <c r="H50" s="17" t="inlineStr">
        <is>
          <t>1. Log in as ravi.nathan@example.com / password123 (Ravi Nathan, an Attendee)
2. Click 'My Registrations' in the sidebar
3. Log out, then log in as hana.quek@example.com / password123 (Hana Quek, an Attendee)
4. Click 'My Registrations' in the sidebar and click the 'SPM66 Harbour Summit' row
5. Click 'Leave waiting list'
6. Click 'Leave waiting list' in the dialog
7. Log out, then log in as ravi.nathan@example.com / password123
8. Click 'My Registrations' in the sidebar</t>
        </is>
      </c>
      <c r="I50" s="17" t="inlineStr">
        <is>
          <t>Step 2: 'SPM66 Harbour Summit' shows the status 'Waiting list' and 'Number 2 in the queue'.
Step 4: The card says 'You're number 1 on the waiting list.'
Step 5: A dialog 'Leave the waiting list for SPM66 Harbour Summit?' says 'You lose your place in the queue. To wait again, you would join at the back of the list.', with 'Leave waiting list' and 'Stay on the list'.
Step 6: 'You have left the waiting list.' appears, and the card offers 'Join waiting list' again.
Step 8: 'SPM66 Harbour Summit' now shows 'Number 1 in the queue'.</t>
        </is>
      </c>
      <c r="J50" s="7" t="n"/>
      <c r="K50" s="14" t="n"/>
      <c r="L50" s="7" t="n"/>
    </row>
    <row r="51" ht="138" customHeight="1" s="21">
      <c r="A51" s="17" t="n">
        <v>37</v>
      </c>
      <c r="B51" s="17" t="inlineStr">
        <is>
          <t>SPM-66-TC04</t>
        </is>
      </c>
      <c r="C51" s="17" t="inlineStr">
        <is>
          <t>An Attendee offered a place accepts it within 3 days, and is registered and off the waiting list</t>
        </is>
      </c>
      <c r="D51" s="17" t="inlineStr">
        <is>
          <t>AC6, AC5</t>
        </is>
      </c>
      <c r="E51" s="17" t="inlineStr">
        <is>
          <t>Positive</t>
        </is>
      </c>
      <c r="F51" s="17" t="inlineStr">
        <is>
          <t>Run npm run fixtures:spm66 just before this case, and again after it (Hana accepts). On 'SPM66 Offer Gala', a place was offered to Hana Quek an hour before the script ran; it can be accepted for 3 days.</t>
        </is>
      </c>
      <c r="G51" s="17" t="inlineStr">
        <is>
          <t>Attendee: Hana Quek | Event: SPM66 Offer Gala | Offer: made an hour before the script ran, for 3 days</t>
        </is>
      </c>
      <c r="H51" s="17" t="inlineStr">
        <is>
          <t>1. Log in as hana.quek@example.com / password123 (Hana Quek, an Attendee)
2. Click 'My Registrations' in the sidebar
3. Click the 'SPM66 Offer Gala' row
4. Click 'Accept place'
5. Click 'My Registrations' in the sidebar</t>
        </is>
      </c>
      <c r="I51" s="17" t="inlineStr">
        <is>
          <t>Step 2: 'SPM66 Offer Gala' shows the status 'Waiting list' and 'Place offered - accept by &lt;date and time 3 days after the offer&gt;'.
Step 3: The card shows 'A place is available for you' and 'Accept it by &lt;the same date and time&gt;. If you don't, it goes to the next person on the waiting list.', with 'Accept place' and 'Decline'.
Step 4: 'You're registered for this event.' appears, and the card shows the badge 'Registered', 'You registered on &lt;today&gt;.' and 'Withdraw'.
Step 5: 'SPM66 Offer Gala' shows the status 'Registered', with nothing about the queue.</t>
        </is>
      </c>
      <c r="J51" s="7" t="n"/>
      <c r="K51" s="14" t="n"/>
      <c r="L51" s="7" t="n"/>
    </row>
    <row r="52" ht="198" customHeight="1" s="21">
      <c r="A52" s="17" t="n">
        <v>38</v>
      </c>
      <c r="B52" s="17" t="inlineStr">
        <is>
          <t>SPM-66-TC05</t>
        </is>
      </c>
      <c r="C52" s="17" t="inlineStr">
        <is>
          <t>When a registered Attendee withdraws, the place is offered to the first on the waiting list, who is notified, and no other Attendee can register into it</t>
        </is>
      </c>
      <c r="D52" s="17" t="inlineStr">
        <is>
          <t>AC5, AC8</t>
        </is>
      </c>
      <c r="E52" s="17" t="inlineStr">
        <is>
          <t>Positive</t>
        </is>
      </c>
      <c r="F52" s="17" t="inlineStr">
        <is>
          <t>Run npm run fixtures:spm66 just before this case, and again after it (Uma withdraws). 'SPM66 Withdrawal Forum' has 2 places, both taken (Uma Pillay, Tomas Reyes), with Hana Quek 1st and Ravi Nathan 2nd waiting.</t>
        </is>
      </c>
      <c r="G52" s="17" t="inlineStr">
        <is>
          <t>Withdrawing: Uma Pillay | 1st waiting: Hana Quek | 2nd: Ravi Nathan | Newcomer: Siew Ling Goh</t>
        </is>
      </c>
      <c r="H52" s="17" t="inlineStr">
        <is>
          <t>1. Log in as uma.pillay@example.com / password123 (Uma Pillay, an Attendee)
2. Click 'My Registrations' in the sidebar, then 'Withdraw' on the 'SPM66 Withdrawal Forum' row
3. Click 'Withdraw' in the dialog
4. Log out, then log in as hana.quek@example.com / password123 (Hana Quek)
5. Click 'Notifications' in the sidebar
6. Click 'My Registrations' in the sidebar
7. Log out, then log in as siew.ling.goh@example.com / password123 (Siew Ling Goh, not on the list)
8. Click 'Browse Events' in the sidebar and open 'SPM66 Withdrawal Forum'</t>
        </is>
      </c>
      <c r="I52" s="17" t="inlineStr">
        <is>
          <t>Step 3: 'You have withdrawn from SPM66 Withdrawal Forum.' appears.
Step 5: A notification 'A place is available' says 'A place is available for "SPM66 Withdrawal Forum". Accept it by &lt;date and time 3 days from now&gt;, or it goes to the next person on the waiting list.'
Step 6: 'SPM66 Withdrawal Forum' shows 'Place offered - accept by &lt;the same date and time&gt;'.
Step 8: Although a place came free, the card says 'This event is full. You can join the waiting list instead.' with 'Join waiting list' - no 'Register' - because the place is under offer to Hana.</t>
        </is>
      </c>
      <c r="J52" s="7" t="n"/>
      <c r="K52" s="14" t="n"/>
      <c r="L52" s="7" t="n"/>
    </row>
    <row r="53" ht="123" customHeight="1" s="21">
      <c r="A53" s="17" t="n">
        <v>39</v>
      </c>
      <c r="B53" s="17" t="inlineStr">
        <is>
          <t>SPM-66-TC07</t>
        </is>
      </c>
      <c r="C53" s="17" t="inlineStr">
        <is>
          <t>An offer not accepted within 3 days ends: the Attendee leaves the list and is told, and the place is offered to the next Attendee</t>
        </is>
      </c>
      <c r="D53" s="17" t="inlineStr">
        <is>
          <t>AC7, AC6</t>
        </is>
      </c>
      <c r="E53" s="17" t="inlineStr">
        <is>
          <t>Positive</t>
        </is>
      </c>
      <c r="F53" s="17" t="inlineStr">
        <is>
          <t>Run npm run fixtures:spm66 just before this case. On 'SPM66 Lapsed Offer Talk', a place was offered to Hana Quek 3 days and an hour before the script ran, so it ended an hour ago without an answer. Ravi Nathan is 2nd. The app ends it the next time anyone opens a page. Run npm run fixtures:spm66 again after this case.</t>
        </is>
      </c>
      <c r="G53" s="17" t="inlineStr">
        <is>
          <t>Lapsed: Hana Quek | Next: Ravi Nathan | Event: SPM66 Lapsed Offer Talk</t>
        </is>
      </c>
      <c r="H53" s="17" t="inlineStr">
        <is>
          <t>1. Log in as ravi.nathan@example.com / password123 (Ravi Nathan, an Attendee)
2. Click 'My Registrations' in the sidebar
3. Click 'Notifications' in the sidebar
4. Log out, then log in as hana.quek@example.com / password123 (Hana Quek)
5. Click 'Notifications' in the sidebar
6. Click 'My Registrations' in the sidebar</t>
        </is>
      </c>
      <c r="I53" s="17" t="inlineStr">
        <is>
          <t>Step 2: 'SPM66 Lapsed Offer Talk' shows 'Place offered - accept by &lt;date and time 3 days from now&gt;'.
Step 3: A notification 'A place is available' names 'SPM66 Lapsed Offer Talk'.
Step 5: A notification 'Your offer has ended' says 'Your offer of a place for "SPM66 Lapsed Offer Talk" has ended because it wasn't accepted in time, and you have left the waiting list.'
Step 6: 'SPM66 Lapsed Offer Talk' shows the status 'Withdrawn'.</t>
        </is>
      </c>
      <c r="J53" s="7" t="n"/>
      <c r="K53" s="14" t="n"/>
      <c r="L53" s="7" t="n"/>
    </row>
    <row r="54" ht="213" customHeight="1" s="21">
      <c r="A54" s="17" t="n">
        <v>40</v>
      </c>
      <c r="B54" s="17" t="inlineStr">
        <is>
          <t>SPM-66-TC08</t>
        </is>
      </c>
      <c r="C54" s="17" t="inlineStr">
        <is>
          <t>The assigned Event Coordinator gives the place under offer to a chosen waitlisted Attendee instead; the one it was offered to keeps their position</t>
        </is>
      </c>
      <c r="D54" s="17" t="inlineStr">
        <is>
          <t>AC9, AC3</t>
        </is>
      </c>
      <c r="E54" s="17" t="inlineStr">
        <is>
          <t>Positive</t>
        </is>
      </c>
      <c r="F54" s="17" t="inlineStr">
        <is>
          <t>Run npm run fixtures:spm66 just before this case, and again after it (the offer moves). 'SPM66 Override Showcase' is Daniel Tan's: a place is under offer to Hana Quek (1st); Ravi Nathan is 2nd and Siew Ling Goh 3rd.</t>
        </is>
      </c>
      <c r="G54" s="17" t="inlineStr">
        <is>
          <t>Coordinator: Daniel Tan | Chosen: Siew Ling Goh (3rd) | Offer moved from: Hana Quek (1st)</t>
        </is>
      </c>
      <c r="H54" s="17" t="inlineStr">
        <is>
          <t>1. Log in as daniel.tan@connectsphere.com / password123 (the assigned Event Coordinator)
2. Click 'All Events' in the sidebar, open 'SPM66 Override Showcase' and click the 'Attendees' tab
3. Click 'Offer place' on Siew Ling Goh's row
4. Click 'Offer place' in the dialog
5. Log out, then log in as hana.quek@example.com / password123 (Hana Quek)
6. Click 'Notifications' in the sidebar</t>
        </is>
      </c>
      <c r="I54" s="17" t="inlineStr">
        <is>
          <t>Step 2: Hana Quek's row shows 'Waiting list' and 'Place offered until &lt;date and time&gt;'; Ravi Nathan's 'Number 2 in the queue'; Siew Ling Goh's 'Number 3 in the queue'. Ravi's and Siew Ling's rows have 'Offer place'; Hana's and Uma Pillay's do not.
Step 3: A dialog 'Offer the place to Siew Ling Goh?' says 'The place now offered to Hana Quek moves to Siew Ling Goh, who has 3 days to accept it. Hana Quek stays on the waiting list in the same position, and both are notified.'
Step 4: 'Siew Ling Goh has been offered the place.' appears; Siew Ling Goh's row now shows 'Place offered until &lt;3 days from now&gt;' and Hana Quek's 'Number 1 in the queue'.
Step 6: A notification 'Your offer has ended' says 'The coordinator has offered the place for "SPM66 Override Showcase" to someone else. You're still on the waiting list, in the same position.'</t>
        </is>
      </c>
      <c r="J54" s="7" t="n"/>
      <c r="K54" s="14" t="n"/>
      <c r="L54" s="7" t="n"/>
    </row>
  </sheetData>
  <conditionalFormatting sqref="J5:J54">
    <cfRule type="cellIs" priority="1" operator="equal" dxfId="0">
      <formula>"Pass"</formula>
    </cfRule>
    <cfRule type="cellIs" priority="2" operator="equal" dxfId="1">
      <formula>"Fail"</formula>
    </cfRule>
    <cfRule type="cellIs" priority="3" operator="equal" dxfId="2">
      <formula>"Changed by design"</formula>
    </cfRule>
    <cfRule type="cellIs" priority="4" operator="equal" dxfId="3">
      <formula>"Blocked"</formula>
    </cfRule>
  </conditionalFormatting>
  <dataValidations count="1">
    <dataValidation sqref="J5:J54" showDropDown="0" showInputMessage="0" showErrorMessage="0" allowBlank="1" type="list">
      <formula1>"Pass,Fail,Changed by design,Blocked"</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L56"/>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5" customWidth="1" style="21" min="1" max="1"/>
    <col width="15" customWidth="1" style="21" min="2" max="2"/>
    <col width="34" customWidth="1" style="21" min="3" max="3"/>
    <col width="10" customWidth="1" style="21" min="4" max="5"/>
    <col width="13" customWidth="1" style="21" min="5" max="5"/>
    <col width="46" customWidth="1" style="21" min="6" max="6"/>
    <col width="30" customWidth="1" style="21" min="7" max="7"/>
    <col width="58" customWidth="1" style="21" min="8" max="8"/>
    <col width="72" customWidth="1" style="21" min="9" max="9"/>
    <col width="63" customWidth="1" style="21" min="10" max="10"/>
    <col width="18.43" customWidth="1" style="21" min="11" max="11"/>
    <col width="34" customWidth="1" style="21" min="12" max="12"/>
    <col width="8.710000000000001" customWidth="1" style="21" min="13" max="26"/>
  </cols>
  <sheetData>
    <row r="1">
      <c r="A1" s="1" t="inlineStr">
        <is>
          <t>Janelle's cases: Venue catalogue, availability, notifications, registration and alternative equipment</t>
        </is>
      </c>
    </row>
    <row r="2">
      <c r="A2" s="2" t="inlineStr">
        <is>
          <t>Run top to bottom. A blue row starts each story: run its fixture script first (never npx prisma db seed). READ FIRST at the top of Preconditions says what has changed since the case was written. IDs ending in -R were rewritten in the Sprint 3 run and are reused here. Fill in the yellow Result, Date tested and Notes cells.</t>
        </is>
      </c>
    </row>
    <row r="4">
      <c r="A4" s="3" t="inlineStr">
        <is>
          <t>#</t>
        </is>
      </c>
      <c r="B4" s="3" t="inlineStr">
        <is>
          <t>Test case ID</t>
        </is>
      </c>
      <c r="C4" s="3" t="inlineStr">
        <is>
          <t>Title</t>
        </is>
      </c>
      <c r="D4" s="3" t="inlineStr">
        <is>
          <t>Linked AC</t>
        </is>
      </c>
      <c r="E4" s="3" t="inlineStr">
        <is>
          <t>Type</t>
        </is>
      </c>
      <c r="F4" s="3" t="inlineStr">
        <is>
          <t>Preconditions</t>
        </is>
      </c>
      <c r="G4" s="3" t="inlineStr">
        <is>
          <t>Test data</t>
        </is>
      </c>
      <c r="H4" s="3" t="inlineStr">
        <is>
          <t>Steps</t>
        </is>
      </c>
      <c r="I4" s="3" t="inlineStr">
        <is>
          <t>Expected results</t>
        </is>
      </c>
      <c r="J4" s="3" t="inlineStr">
        <is>
          <t>Result</t>
        </is>
      </c>
      <c r="K4" s="3" t="inlineStr">
        <is>
          <t>Date tested</t>
        </is>
      </c>
      <c r="L4" s="3" t="inlineStr">
        <is>
          <t>Notes / bug key</t>
        </is>
      </c>
    </row>
    <row r="5" ht="20" customHeight="1" s="21">
      <c r="A5" s="6" t="inlineStr">
        <is>
          <t>SPM-39  Manage Venue Catalogue  -  no fixture script: uses the base seed data</t>
        </is>
      </c>
      <c r="B5" s="16" t="n"/>
      <c r="C5" s="16" t="n"/>
      <c r="D5" s="16" t="n"/>
      <c r="E5" s="16" t="n"/>
      <c r="F5" s="16" t="n"/>
      <c r="G5" s="16" t="n"/>
      <c r="H5" s="16" t="n"/>
      <c r="I5" s="16" t="n"/>
      <c r="J5" s="16" t="n"/>
      <c r="K5" s="16" t="n"/>
      <c r="L5" s="16" t="n"/>
    </row>
    <row r="6" ht="63" customHeight="1" s="21">
      <c r="A6" s="17" t="n">
        <v>1</v>
      </c>
      <c r="B6" s="17" t="inlineStr">
        <is>
          <t>SPM-39-TC01</t>
        </is>
      </c>
      <c r="C6" s="17" t="inlineStr">
        <is>
          <t>Venue Staff can create a venue record</t>
        </is>
      </c>
      <c r="D6" s="17" t="inlineStr">
        <is>
          <t>AC1</t>
        </is>
      </c>
      <c r="E6" s="17" t="inlineStr">
        <is>
          <t>Positive</t>
        </is>
      </c>
      <c r="F6" s="17" t="inlineStr">
        <is>
          <t>Demo data loaded (16 venues).
Logged in as Venue Staff: marcus.wong@connectsphere.com / password123</t>
        </is>
      </c>
      <c r="G6" s="17" t="inlineStr">
        <is>
          <t>Code: TEST-01
Name: Test Meeting Room
Building: Marina Bay
Maximum capacity: 24</t>
        </is>
      </c>
      <c r="H6" s="17" t="inlineStr">
        <is>
          <t>1. Click 'Venues' in the sidebar
2. Click 'Add venue'
3. Enter the code, name, building and maximum capacity
4. Click 'Add venue'</t>
        </is>
      </c>
      <c r="I6" s="17" t="inlineStr">
        <is>
          <t>The Venues list reopens and now shows 17 venues.
'Test Meeting Room' appears with code TEST-01, Location 'Marina Bay', Max capacity 24, Layouts 'None set' in amber, Status 'Active'.</t>
        </is>
      </c>
      <c r="J6" s="16" t="n"/>
      <c r="K6" s="13" t="n"/>
      <c r="L6" s="7" t="n"/>
    </row>
    <row r="7" ht="213" customHeight="1" s="21">
      <c r="A7" s="17" t="n">
        <v>2</v>
      </c>
      <c r="B7" s="17" t="inlineStr">
        <is>
          <t>SPM-39-TC05</t>
        </is>
      </c>
      <c r="C7" s="17" t="inlineStr">
        <is>
          <t>Location, capacity, facilities and accessibility are all recorded and persist</t>
        </is>
      </c>
      <c r="D7" s="17" t="inlineStr">
        <is>
          <t>AC2</t>
        </is>
      </c>
      <c r="E7" s="17" t="inlineStr">
        <is>
          <t>Positive</t>
        </is>
      </c>
      <c r="F7" s="17" t="inlineStr">
        <is>
          <t>READ FIRST: v2 (2026-10-20): After a save that flags no booking, the venue page now reads 'No bookings were affected, so nobody needed to be notified.' instead of 'No approved bookings were affected, so nobody needed to be notified.' (SPM-80, Week 7 Change #1: changing a venue's setup or turnaround time now re-checks pending requests as well as approved bookings). Read the expected result with the new wording. The behaviour this case checks is unchanged.
Venue 'Test Meeting Room' (TEST-01) exists from TC01.
Logged in as Venue Staff: marcus.wong@connectsphere.com / password123</t>
        </is>
      </c>
      <c r="G7" s="17" t="inlineStr">
        <is>
          <t>Floor: L2
Address: 10 Marina Boulevard
Maximum capacity: 32
Facilities: High-density WiFi, Natural light
Accessibility: Hearing induction loop, Step-free access</t>
        </is>
      </c>
      <c r="H7" s="17" t="inlineStr">
        <is>
          <t>1. Click 'Venues' in the sidebar
2. Click the 'Test Meeting Room' row
3. Enter the floor and address
4. Change Maximum capacity
5. Under 'This venue has', tick 'High-density WiFi' and 'Natural light'
6. Under 'Accessibility', tick 'Hearing induction loop' and 'Step-free access'
7. Click 'Save changes'
8. Click 'Back to Venues', then reopen 'Test Meeting Room'</t>
        </is>
      </c>
      <c r="I7" s="17" t="inlineStr">
        <is>
          <t>A green message 'Changes saved — No approved bookings were affected.' appears.
On reopening, Floor shows 'L2', Address '10 Marina Boulevard', Maximum capacity 32, and all four tick boxes are still ticked.
The Venues list shows Location as 'Marina Bay — L2'.</t>
        </is>
      </c>
      <c r="J7" s="16" t="n"/>
      <c r="K7" s="13" t="n"/>
      <c r="L7" s="7" t="n"/>
    </row>
    <row r="8" ht="108" customHeight="1" s="21">
      <c r="A8" s="17" t="n">
        <v>3</v>
      </c>
      <c r="B8" s="17" t="inlineStr">
        <is>
          <t>SPM-39-TC07</t>
        </is>
      </c>
      <c r="C8" s="17" t="inlineStr">
        <is>
          <t>Several layouts are recorded, each with its own capacity</t>
        </is>
      </c>
      <c r="D8" s="17" t="inlineStr">
        <is>
          <t>AC3</t>
        </is>
      </c>
      <c r="E8" s="17" t="inlineStr">
        <is>
          <t>Positive</t>
        </is>
      </c>
      <c r="F8" s="17" t="inlineStr">
        <is>
          <t>Venue 'Test Meeting Room' (TEST-01) exists with no layouts.
Logged in as Venue Staff: marcus.wong@connectsphere.com / password123</t>
        </is>
      </c>
      <c r="G8" s="17" t="inlineStr">
        <is>
          <t>Layout 1 — Boardroom, Seats: 20
Layout 2 — U-shape, Seats: 14</t>
        </is>
      </c>
      <c r="H8" s="17" t="inlineStr">
        <is>
          <t>1. Open 'Test Meeting Room' from the Venues list
2. Click 'Add a layout'
3. Choose the layout and enter its seats
4. Click 'Add a layout' again
5. Choose the second layout and enter its seats
6. Click 'Save changes'
7. Click 'Back to Venues', then reopen 'Test Meeting Room'</t>
        </is>
      </c>
      <c r="I8" s="17" t="inlineStr">
        <is>
          <t>On reopening, both rows are shown: Boardroom with 20 seats and U-shape with 14 seats, each keeping its own value.
The Venues list shows Layouts as '2 (max 20 seated)' for this venue.</t>
        </is>
      </c>
      <c r="J8" s="16" t="n"/>
      <c r="K8" s="13" t="n"/>
      <c r="L8" s="7" t="n"/>
    </row>
    <row r="9" ht="78" customHeight="1" s="21">
      <c r="A9" s="17" t="n">
        <v>4</v>
      </c>
      <c r="B9" s="17" t="inlineStr">
        <is>
          <t>SPM-39-TC10</t>
        </is>
      </c>
      <c r="C9" s="17" t="inlineStr">
        <is>
          <t>Opening hours and turnaround times are recorded</t>
        </is>
      </c>
      <c r="D9" s="17" t="inlineStr">
        <is>
          <t>AC4</t>
        </is>
      </c>
      <c r="E9" s="17" t="inlineStr">
        <is>
          <t>Positive</t>
        </is>
      </c>
      <c r="F9" s="17" t="inlineStr">
        <is>
          <t>Venue 'Test Meeting Room' (TEST-01) exists.
Logged in as Venue Staff: marcus.wong@connectsphere.com / password123</t>
        </is>
      </c>
      <c r="G9" s="17" t="inlineStr">
        <is>
          <t>Opens at: 07:00 am
Closes at: 11:00 pm
Setup minutes: 45
Teardown minutes: 30</t>
        </is>
      </c>
      <c r="H9" s="17" t="inlineStr">
        <is>
          <t>1. Open 'Test Meeting Room' from the Venues list
2. Set 'Opens at' and 'Closes at'
3. Set 'Setup minutes' and 'Teardown minutes'
4. Click 'Save changes'
5. Click 'Back to Venues', then reopen 'Test Meeting Room'</t>
        </is>
      </c>
      <c r="I9" s="17" t="inlineStr">
        <is>
          <t>On reopening, Opens at shows 07:00, Closes at 23:00, Setup minutes 45 and Teardown minutes 30.
The Venues list shows Hours as '07:00–23:00' for this venue.</t>
        </is>
      </c>
      <c r="J9" s="16" t="n"/>
      <c r="K9" s="13" t="n"/>
      <c r="L9" s="7" t="n"/>
    </row>
    <row r="10" ht="198" customHeight="1" s="21">
      <c r="A10" s="17" t="n">
        <v>5</v>
      </c>
      <c r="B10" s="17" t="inlineStr">
        <is>
          <t>SPM-39-TC13</t>
        </is>
      </c>
      <c r="C10" s="17" t="inlineStr">
        <is>
          <t>Venue Staff can update an existing venue</t>
        </is>
      </c>
      <c r="D10" s="17" t="inlineStr">
        <is>
          <t>AC5</t>
        </is>
      </c>
      <c r="E10" s="17" t="inlineStr">
        <is>
          <t>Positive</t>
        </is>
      </c>
      <c r="F10" s="17" t="inlineStr">
        <is>
          <t>READ FIRST: v2 (2026-10-20): After a save that flags no booking, the venue page now reads 'No bookings were affected, so nobody needed to be notified.' instead of 'No approved bookings were affected, so nobody needed to be notified.' (SPM-80, Week 7 Change #1: changing a venue's setup or turnaround time now re-checks pending requests as well as approved bookings). Read the expected result with the new wording. The behaviour this case checks is unchanged.
Demo data loaded.
Logged in as Venue Staff: marcus.wong@connectsphere.com / password123</t>
        </is>
      </c>
      <c r="G10" s="17" t="inlineStr">
        <is>
          <t>Description: Workshop room with benches, heavy power supply and a new sink</t>
        </is>
      </c>
      <c r="H10" s="17" t="inlineStr">
        <is>
          <t>1. Click 'Venues' in the sidebar
2. Click the 'Orchard Studio' row
3. Change the Description
4. Click 'Save changes'
5. Click 'Back to Venues', then reopen 'Orchard Studio'</t>
        </is>
      </c>
      <c r="I10" s="17" t="inlineStr">
        <is>
          <t>A green message 'Changes saved — No approved bookings were affected. No approved bookings were affected, so nobody needed to be notified.' appears at the top of the page.
The page stays on the venue rather than navigating away.
On reopening, the new description is shown.</t>
        </is>
      </c>
      <c r="J10" s="16" t="n"/>
      <c r="K10" s="13" t="n"/>
      <c r="L10" s="7" t="n"/>
    </row>
    <row r="11" ht="123" customHeight="1" s="21">
      <c r="A11" s="17" t="n">
        <v>6</v>
      </c>
      <c r="B11" s="17" t="inlineStr">
        <is>
          <t>SPM-39-TC15</t>
        </is>
      </c>
      <c r="C11" s="17" t="inlineStr">
        <is>
          <t>A retired venue is no longer offered to a Coordinator</t>
        </is>
      </c>
      <c r="D11" s="17" t="inlineStr">
        <is>
          <t>AC6</t>
        </is>
      </c>
      <c r="E11" s="17" t="inlineStr">
        <is>
          <t>Positive</t>
        </is>
      </c>
      <c r="F11" s="17" t="inlineStr">
        <is>
          <t>Venue 'Test Meeting Room' (TEST-01) exists, is active and has no bookings.
Logged in as Venue Staff: marcus.wong@connectsphere.com / password123</t>
        </is>
      </c>
      <c r="G11" s="17" t="inlineStr">
        <is>
          <t>Reason: Closed for renovation until March</t>
        </is>
      </c>
      <c r="H11" s="17" t="inlineStr">
        <is>
          <t>1. Open 'Test Meeting Room' from the Venues list
2. Click 'Retire venue'
3. Enter a reason in the confirmation dialog
4. Click 'Retire venue' in the dialog
5. Click 'Log out', then log in as daniel.tan@connectsphere.com / password123
6. Click 'Venues' in the sidebar
7. Open the 'Show' filter</t>
        </is>
      </c>
      <c r="I11" s="17" t="inlineStr">
        <is>
          <t>For Venue Staff the venue page gains a 'Retired' label, an amber 'This venue is retired' panel, and the button changes to 'Restore venue'.
For the Coordinator, 'Test Meeting Room' does not appear in the Venues list at all.
The Coordinator's 'Show' filter offers only 'All venues' and 'Active only' — there is no 'Retired only' option.</t>
        </is>
      </c>
      <c r="J11" s="16" t="n"/>
      <c r="K11" s="13" t="n"/>
      <c r="L11" s="7" t="n"/>
    </row>
    <row r="12" ht="153" customHeight="1" s="21">
      <c r="A12" s="17" t="n">
        <v>7</v>
      </c>
      <c r="B12" s="17" t="inlineStr">
        <is>
          <t>SPM-39-TC17</t>
        </is>
      </c>
      <c r="C12" s="17" t="inlineStr">
        <is>
          <t>Reducing a layout below an approved booking's attendance flags that booking</t>
        </is>
      </c>
      <c r="D12" s="17" t="inlineStr">
        <is>
          <t>AC7</t>
        </is>
      </c>
      <c r="E12" s="17" t="inlineStr">
        <is>
          <t>Positive</t>
        </is>
      </c>
      <c r="F12" s="17" t="inlineStr">
        <is>
          <t>Demo data freshly loaded — no flag can be cleared from the app, so reload the demo data before this test.
One-North Seminar Room (ONE-SEM) seats 80 theatre-style and has one approved future booking: 'Tanjong Legal CPD Seminar' on 28 Oct 2026, whose event expects 70 people. Its coordinator is Joel Fernandez.
Logged in as Venue Staff: marcus.wong@connectsphere.com / password123</t>
        </is>
      </c>
      <c r="G12" s="17" t="inlineStr">
        <is>
          <t>Theatre seats: change 80 to 60 (the event expects 70)</t>
        </is>
      </c>
      <c r="H12" s="17" t="inlineStr">
        <is>
          <t>1. Open 'One-North Seminar Room' from the Venues list
2. Change the Theatre layout's Seats value
3. Click 'Save changes'</t>
        </is>
      </c>
      <c r="I12" s="17" t="inlineStr">
        <is>
          <t>An amber panel appears at the top: 'Changes saved — 1 booking flagged for review, coordinators notified'.
It states the bookings have NOT been changed and that each is flagged for its coordinator to decide what to do.
It lists 'Tanjong Legal CPD Seminar: the booked layout no longer seats the expected attendance'.
The new seats value of 60 is saved and shown on the form.</t>
        </is>
      </c>
      <c r="J12" s="16" t="n"/>
      <c r="K12" s="13" t="n"/>
      <c r="L12" s="7" t="n"/>
    </row>
    <row r="13" ht="20" customHeight="1" s="21">
      <c r="A13" s="6" t="inlineStr">
        <is>
          <t>SPM-40  Search and Filter Suitable Venues  -  no fixture script: uses the base seed data</t>
        </is>
      </c>
      <c r="B13" s="16" t="n"/>
      <c r="C13" s="16" t="n"/>
      <c r="D13" s="16" t="n"/>
      <c r="E13" s="16" t="n"/>
      <c r="F13" s="16" t="n"/>
      <c r="G13" s="16" t="n"/>
      <c r="H13" s="16" t="n"/>
      <c r="I13" s="16" t="n"/>
      <c r="J13" s="16" t="n"/>
      <c r="K13" s="16" t="n"/>
      <c r="L13" s="16" t="n"/>
    </row>
    <row r="14" ht="153" customHeight="1" s="21">
      <c r="A14" s="17" t="n">
        <v>8</v>
      </c>
      <c r="B14" s="17" t="inlineStr">
        <is>
          <t>SPM-40-TC13</t>
        </is>
      </c>
      <c r="C14" s="17" t="inlineStr">
        <is>
          <t>All six filters combined, then Clear filters</t>
        </is>
      </c>
      <c r="D14" s="17" t="inlineStr">
        <is>
          <t>AC1, AC2, AC3, AC4, AC5, AC6, AC7</t>
        </is>
      </c>
      <c r="E14" s="17" t="inlineStr">
        <is>
          <t>Positive</t>
        </is>
      </c>
      <c r="F14" s="17" t="inlineStr">
        <is>
          <t>Logged in as Coordinator Daniel Tan (daniel.tan@connectsphere.com / password123).
On the Find a venue page (Venues &gt; Find a venue) with all filters cleared.</t>
        </is>
      </c>
      <c r="G14" s="17" t="inlineStr">
        <is>
          <t>From: 1 Mar 2027, 09:00 (9:00 am)
To: 1 Mar 2027, 12:00 (12:00 pm)
Expected attendance: 100
Location: Marina Centre
Room layout: Theatre
Accessibility: Step-free access, Hearing induction loop
Facilities: Built-in PA system</t>
        </is>
      </c>
      <c r="H14" s="17" t="inlineStr">
        <is>
          <t>1. Enter From = 1 Mar 2027, 09:00 (9:00 am), To = 1 Mar 2027, 12:00 (12:00 pm)
2. Enter 100 in 'Expected attendance'
3. Choose 'Marina Centre' in 'Location' and 'Theatre' in 'Room layout'
4. Tick 'Step-free access' and 'Hearing induction loop' under Accessibility requirements
5. Tick 'Built-in PA system' under Required facilities
6. Click 'Search'
7. Click 'Clear filters'</t>
        </is>
      </c>
      <c r="I14" s="17" t="inlineStr">
        <is>
          <t>After Search: only Marina Auditorium (MAR-AUD, theatre 220) then Marina Grand Hall (MAR-GH, theatre 500); the Theatre capacity is bold and the three ticked items are green chips.
After Clear filters: every filter is empty and '16 of 16 venues match'.</t>
        </is>
      </c>
      <c r="J14" s="16" t="n"/>
      <c r="K14" s="13" t="n"/>
      <c r="L14" s="7" t="n"/>
    </row>
    <row r="15" ht="20" customHeight="1" s="21">
      <c r="A15" s="6" t="inlineStr">
        <is>
          <t>SPM-41  Check Venue Suitability  -  no fixture script: uses the base seed data</t>
        </is>
      </c>
      <c r="B15" s="16" t="n"/>
      <c r="C15" s="16" t="n"/>
      <c r="D15" s="16" t="n"/>
      <c r="E15" s="16" t="n"/>
      <c r="F15" s="16" t="n"/>
      <c r="G15" s="16" t="n"/>
      <c r="H15" s="16" t="n"/>
      <c r="I15" s="16" t="n"/>
      <c r="J15" s="16" t="n"/>
      <c r="K15" s="16" t="n"/>
      <c r="L15" s="16" t="n"/>
    </row>
    <row r="16" ht="213" customHeight="1" s="21">
      <c r="A16" s="17" t="n">
        <v>9</v>
      </c>
      <c r="B16" s="17" t="inlineStr">
        <is>
          <t>SPM-41-TC05</t>
        </is>
      </c>
      <c r="C16" s="17" t="inlineStr">
        <is>
          <t>The same attendance gets a different result under a different layout</t>
        </is>
      </c>
      <c r="D16" s="17" t="inlineStr">
        <is>
          <t>AC1, AC4</t>
        </is>
      </c>
      <c r="E16" s="17" t="inlineStr">
        <is>
          <t>Positive</t>
        </is>
      </c>
      <c r="F16" s="17" t="inlineStr">
        <is>
          <t>Logged in as Coordinator Priya Raj (priya.raj@connectsphere.com / password123), who is assigned to the test event 'SPM41 Layout Theatre' (status Under review, requested by Rachel Ng, rachel.ng@meridianfina.com; dated 15 Mar 2027 09:00-17:00 with no venue bookings on that day).
A second test event 'SPM41 Layout Classroom' has the same organiser, coordinator and date.
Both events expect 100 people and require no facilities. 'SPM41 Layout Theatre' prefers Theatre; 'SPM41 Layout Classroom' prefers Classroom.
Seed data loaded: Orchard Seminar Room (ORC-SEM) has Theatre capacity 120 and Classroom capacity 70.</t>
        </is>
      </c>
      <c r="G16" s="17" t="inlineStr">
        <is>
          <t>Expected attendance: 100 for both events
Event 1 layout: Theatre (capacity 120)
Event 2 layout: Classroom (capacity 70)</t>
        </is>
      </c>
      <c r="H16" s="17" t="inlineStr">
        <is>
          <t>1. Open the event 'SPM41 Layout Theatre'
2. Open the Find a venue page for the event
3. Note the result shown for 'Orchard Seminar Room (ORC-SEM)'
4. Go back and open the event 'SPM41 Layout Classroom'
5. Open the Find a venue page for the event
6. Note the result shown for 'Orchard Seminar Room (ORC-SEM)'</t>
        </is>
      </c>
      <c r="I16" s="17" t="inlineStr">
        <is>
          <t>For 'SPM41 Layout Theatre', Orchard Seminar Room is shown as Suitable.
For 'SPM41 Layout Classroom', it is NOT Suitable and the reason states the Classroom capacity of 70 against 100 expected.</t>
        </is>
      </c>
      <c r="J16" s="16" t="n"/>
      <c r="K16" s="13" t="n"/>
      <c r="L16" s="7" t="n"/>
    </row>
    <row r="17" ht="198" customHeight="1" s="21">
      <c r="A17" s="17" t="n">
        <v>10</v>
      </c>
      <c r="B17" s="17" t="inlineStr">
        <is>
          <t>SPM-41-TC06</t>
        </is>
      </c>
      <c r="C17" s="17" t="inlineStr">
        <is>
          <t>Venue with all required facilities is suitable</t>
        </is>
      </c>
      <c r="D17" s="17" t="inlineStr">
        <is>
          <t>AC2</t>
        </is>
      </c>
      <c r="E17" s="17" t="inlineStr">
        <is>
          <t>Positive</t>
        </is>
      </c>
      <c r="F17" s="17" t="inlineStr">
        <is>
          <t>Logged in as Coordinator Priya Raj (priya.raj@connectsphere.com / password123), who is assigned to the test event 'SPM41 Hybrid Forum VC+Live' (status Under review, requested by Rachel Ng, rachel.ng@meridianfina.com; dated 15 Mar 2027 09:00-17:00 with no venue bookings on that day).
The event expects 100 people, layout Theatre, required facilities: Video conferencing suite and Livestream capability, on a date with no bookings.
Seed data loaded: Changi Conference Centre (CBP-CONF) has both facilities and Theatre capacity 260.</t>
        </is>
      </c>
      <c r="G17" s="17" t="inlineStr">
        <is>
          <t>Required facilities: Video conferencing suite, Livestream capability
Expected attendance: 100
Layout: Theatre</t>
        </is>
      </c>
      <c r="H17" s="17" t="inlineStr">
        <is>
          <t>1. Open the event 'SPM41 Hybrid Forum VC+Live'
2. Open the Find a venue page for the event
3. Find 'Changi Conference Centre (CBP-CONF)' in the results</t>
        </is>
      </c>
      <c r="I17" s="17" t="inlineStr">
        <is>
          <t>Changi Conference Centre is shown as Suitable.
No 'not met' reason is shown for it.</t>
        </is>
      </c>
      <c r="J17" s="16" t="n"/>
      <c r="K17" s="13" t="n"/>
      <c r="L17" s="7" t="n"/>
    </row>
    <row r="18" ht="183" customHeight="1" s="21">
      <c r="A18" s="17" t="n">
        <v>11</v>
      </c>
      <c r="B18" s="17" t="inlineStr">
        <is>
          <t>SPM-41-TC09</t>
        </is>
      </c>
      <c r="C18" s="17" t="inlineStr">
        <is>
          <t>Venue with all required accessibility features is suitable</t>
        </is>
      </c>
      <c r="D18" s="17" t="inlineStr">
        <is>
          <t>AC3</t>
        </is>
      </c>
      <c r="E18" s="17" t="inlineStr">
        <is>
          <t>Positive</t>
        </is>
      </c>
      <c r="F18" s="17" t="inlineStr">
        <is>
          <t>Logged in as Coordinator Priya Raj (priya.raj@connectsphere.com / password123), who is assigned to the test event 'SPM41 Open Lecture 200' (status Under review, requested by Rachel Ng, rachel.ng@meridianfina.com; dated 15 Mar 2027 09:00-17:00 with no venue bookings on that day).
The event expects 200 people, layout Theatre, required accessibility features: Hearing induction loop and Wheelchair spaces, on a date with no bookings.
Seed data loaded: Marina Auditorium (MAR-AUD) has both and Theatre capacity 220.</t>
        </is>
      </c>
      <c r="G18" s="17" t="inlineStr">
        <is>
          <t>Required accessibility: Hearing induction loop, Wheelchair spaces
Expected attendance: 200
Layout: Theatre</t>
        </is>
      </c>
      <c r="H18" s="17" t="inlineStr">
        <is>
          <t>1. Open the event 'SPM41 Open Lecture 200'
2. Open the Find a venue page for the event
3. Find 'Marina Auditorium (MAR-AUD)' in the results</t>
        </is>
      </c>
      <c r="I18" s="17" t="inlineStr">
        <is>
          <t>Marina Auditorium is shown as Suitable.
No 'not met' reason is shown for it.</t>
        </is>
      </c>
      <c r="J18" s="16" t="n"/>
      <c r="K18" s="13" t="n"/>
      <c r="L18" s="7" t="n"/>
    </row>
    <row r="19" ht="20" customHeight="1" s="21">
      <c r="A19" s="6" t="inlineStr">
        <is>
          <t>SPM-45  Record Venue Unavailability  -  run npm run fixtures:spm45 before its first case</t>
        </is>
      </c>
      <c r="B19" s="16" t="n"/>
      <c r="C19" s="16" t="n"/>
      <c r="D19" s="16" t="n"/>
      <c r="E19" s="16" t="n"/>
      <c r="F19" s="16" t="n"/>
      <c r="G19" s="16" t="n"/>
      <c r="H19" s="16" t="n"/>
      <c r="I19" s="16" t="n"/>
      <c r="J19" s="16" t="n"/>
      <c r="K19" s="16" t="n"/>
      <c r="L19" s="16" t="n"/>
    </row>
    <row r="20" ht="303" customHeight="1" s="21">
      <c r="A20" s="17" t="n">
        <v>12</v>
      </c>
      <c r="B20" s="17" t="inlineStr">
        <is>
          <t>SPM-45-TC01</t>
        </is>
      </c>
      <c r="C20" s="17" t="inlineStr">
        <is>
          <t>A venue is marked unavailable for part of a day, by date and time, with a reason</t>
        </is>
      </c>
      <c r="D20" s="17" t="inlineStr">
        <is>
          <t>AC1, AC6</t>
        </is>
      </c>
      <c r="E20" s="17" t="inlineStr">
        <is>
          <t>Positive</t>
        </is>
      </c>
      <c r="F20" s="17" t="inlineStr">
        <is>
          <t>READ FIRST: v2 (2026-10-20): After a save that flags no booking, the venue page now reads 'No bookings were affected, so nobody needed to be notified.' instead of 'No approved bookings were affected, so nobody needed to be notified.' (SPM-80, Week 7 Change #1: changing a venue's setup or turnaround time now re-checks pending requests as well as approved bookings). Read the expected result with the new wording. The behaviour this case checks is unchanged.
Fixtures: 'SPM45 Dates Room' (SPM45-DAT) is active, has no setup or turnaround time, no bookings and no unavailable period.
If it is missing, or has periods left by an earlier run, run: npm run fixtures:spm45 (adds or resets the SPM45 test data without a reseed).
This case records a period. The Dates Room cases (SPM-45-TC01 to TC08) can be run one after another without a reset; run npm run fixtures:spm45 after the last one you run.</t>
        </is>
      </c>
      <c r="G20" s="17" t="inlineStr">
        <is>
          <t>Venue: SPM45 Dates Room (SPM45-DAT)
Unavailable from: 10 Jun 2027, 09:00
Available again: 10 Jun 2027, 17:30
Reason: Maintenance</t>
        </is>
      </c>
      <c r="H20" s="17" t="inlineStr">
        <is>
          <t>1. Log in as marcus.wong@connectsphere.com / password123
2. Click 'Venues' in the sidebar
3. Click the 'SPM45 Dates Room' row
4. Click 'Mark unavailable'
5. Set 'Unavailable from' to 10 Jun 2027 and 'From time' to 09:00
6. Set 'Available again on' to 10 Jun 2027 and 'Available again at' to 17:30
7. In 'Reason', choose 'Maintenance'
8. In the dialog, click 'Mark unavailable'
9. Click 'View availability'
10. Set 'From' to 9 Jun 2027 and 'To' to 11 Jun 2027
11. Click 'Show availability'</t>
        </is>
      </c>
      <c r="I20" s="17" t="inlineStr">
        <is>
          <t>Step 3: The page has an 'Unavailable periods' section with a 'Mark unavailable' button and the text 'No unavailable periods under way or coming up.'
Step 4: A dialog titled 'Mark SPM45 Dates Room unavailable' appears. It has the empty date fields 'Unavailable from' and 'Available again on', the empty time fields 'From time' and 'Available again at', and a 'Reason' picker showing 'Choose a reason' and offering Maintenance, Equipment failure, Renovation, Safety, Internal activity and Other. There are no AM, PM or Night options. It says that no booking is cancelled or moved.
Step 8: The dialog closes. A green 'Unavailable period saved' message reads 'No approved bookings were affected, so nobody needed to be notified.' Under 'Unavailable periods' a period is listed: 'Maintenance', 'Unavailable from 10 Jun 2027, 09:00. Available again from 10 Jun 2027, 17:30.', with the buttons 'Change period' and 'End period'. There is no 'Retired' label beside the venue's name.
Step 11: The 9 Jun 2027 row shows 'Free'. The 10 Jun 2027 row lists 'Unavailable 09:00–17:30 · Maintenance' and nothing else. The 11 Jun 2027 row shows 'Free'. The 'Unavailable periods' card lists 'Maintenance' with '10 Jun 2027, 09:00–17:30'.</t>
        </is>
      </c>
      <c r="J20" s="16" t="n"/>
      <c r="K20" s="13" t="n"/>
      <c r="L20" s="7" t="n"/>
    </row>
    <row r="21" ht="168" customHeight="1" s="21">
      <c r="A21" s="17" t="n">
        <v>13</v>
      </c>
      <c r="B21" s="17" t="inlineStr">
        <is>
          <t>SPM-45-TC16</t>
        </is>
      </c>
      <c r="C21" s="17" t="inlineStr">
        <is>
          <t>An unavailable period that is under way can be ended early</t>
        </is>
      </c>
      <c r="D21" s="17" t="inlineStr">
        <is>
          <t>AC5</t>
        </is>
      </c>
      <c r="E21" s="17" t="inlineStr">
        <is>
          <t>Positive</t>
        </is>
      </c>
      <c r="F21" s="17" t="inlineStr">
        <is>
          <t>Fixtures: 'SPM45 Closure Room' (SPM45-NOW) has an unavailable period that is under way: Renovation, unavailable from 1 Oct 2026, 00:00, available again from 1 Dec 2028, 09:00. It has no bookings.
If it is missing, or its period was already ended by an earlier run, run: npm run fixtures:spm45 (adds or resets the SPM45 test data without a reseed).
Run npm run fixtures:spm45 after this case to put the period back.</t>
        </is>
      </c>
      <c r="G21" s="17" t="inlineStr">
        <is>
          <t>Venue: SPM45 Closure Room (SPM45-NOW)
Period (set by the fixture script): Renovation, 1 Oct 2026, 00:00 to 1 Dec 2028, 09:00
Calendar date: tomorrow</t>
        </is>
      </c>
      <c r="H21" s="17" t="inlineStr">
        <is>
          <t>1. Log in as marcus.wong@connectsphere.com / password123
2. Click 'Venues' in the sidebar
3. Click the 'SPM45 Closure Room' row
4. Click 'End period'
5. Click 'View availability'
6. Set 'From' and 'To' to tomorrow's date
7. Click 'Show availability'</t>
        </is>
      </c>
      <c r="I21" s="17" t="inlineStr">
        <is>
          <t>Step 3: Under 'Unavailable periods' one period is listed: 'Renovation', 'Unavailable from 1 Oct 2026, 00:00. Available again from 1 Dec 2028, 09:00.', with the buttons 'Change period' and 'End period'.
Step 4: A green 'Unavailable period ended' message appears, and the period is no longer listed: the text 'No unavailable periods under way or coming up.' is shown.
Step 7: Tomorrow's row shows 'Free', and the 'Unavailable periods' card reads 'No unavailable periods in this range.': the room did not wait for 1 Dec 2028.</t>
        </is>
      </c>
      <c r="J21" s="16" t="n"/>
      <c r="K21" s="13" t="n"/>
      <c r="L21" s="7" t="n"/>
    </row>
    <row r="22" ht="138" customHeight="1" s="21">
      <c r="A22" s="17" t="n">
        <v>14</v>
      </c>
      <c r="B22" s="17" t="inlineStr">
        <is>
          <t>SPM-45-TC17</t>
        </is>
      </c>
      <c r="C22" s="17" t="inlineStr">
        <is>
          <t>A venue is available again from the stated time without anyone ending the period</t>
        </is>
      </c>
      <c r="D22" s="17" t="inlineStr">
        <is>
          <t>AC4</t>
        </is>
      </c>
      <c r="E22" s="17" t="inlineStr">
        <is>
          <t>Positive</t>
        </is>
      </c>
      <c r="F22" s="17" t="inlineStr">
        <is>
          <t>Fixtures: 'SPM45 Reopened Room' (SPM45-BAK) has an unavailable period that has passed: Maintenance, unavailable from 1 Sep 2026, 00:00, available again from 1 Oct 2026, 12:00. Nobody has ended or changed it, and the room has no bookings.
If it is missing, run: npm run fixtures:spm45 (adds or resets the SPM45 test data without a reseed).
This case changes nothing.</t>
        </is>
      </c>
      <c r="G22" s="17" t="inlineStr">
        <is>
          <t>Venue: SPM45 Reopened Room (SPM45-BAK)
Period (set by the fixture script): Maintenance, 1 Sep 2026, 00:00 to 1 Oct 2026, 12:00
Calendar range: 30 Sep 2026 to 1 Oct 2026</t>
        </is>
      </c>
      <c r="H22" s="17" t="inlineStr">
        <is>
          <t>1. Log in as marcus.wong@connectsphere.com / password123
2. Click 'Venues' in the sidebar
3. Click the 'SPM45 Reopened Room' row
4. Click 'View availability'
5. Set 'From' to 30 Sep 2026 and 'To' to 1 Oct 2026
6. Click 'Show availability'</t>
        </is>
      </c>
      <c r="I22" s="17" t="inlineStr">
        <is>
          <t>Step 2: 'SPM45 Reopened Room' is listed with the status 'Active'.
Step 3: Under 'Unavailable periods' the text 'No unavailable periods under way or coming up.' is shown: the period is over, so there is nothing to end.
Step 6: The 30 Sep 2026 row lists 'Unavailable 00:00–24:00 · Maintenance'. The 1 Oct 2026 row lists 'Unavailable 00:00–12:00 · Maintenance' and nothing after 12:00: the room came back at the time that was stated.</t>
        </is>
      </c>
      <c r="J22" s="16" t="n"/>
      <c r="K22" s="13" t="n"/>
      <c r="L22" s="7" t="n"/>
    </row>
    <row r="23" ht="20" customHeight="1" s="21">
      <c r="A23" s="6" t="inlineStr">
        <is>
          <t>SPM-46  View Venue Availability  -  no fixture script: uses the base seed data</t>
        </is>
      </c>
      <c r="B23" s="16" t="n"/>
      <c r="C23" s="16" t="n"/>
      <c r="D23" s="16" t="n"/>
      <c r="E23" s="16" t="n"/>
      <c r="F23" s="16" t="n"/>
      <c r="G23" s="16" t="n"/>
      <c r="H23" s="16" t="n"/>
      <c r="I23" s="16" t="n"/>
      <c r="J23" s="16" t="n"/>
      <c r="K23" s="16" t="n"/>
      <c r="L23" s="16" t="n"/>
    </row>
    <row r="24" ht="153" customHeight="1" s="21">
      <c r="A24" s="17" t="n">
        <v>15</v>
      </c>
      <c r="B24" s="17" t="inlineStr">
        <is>
          <t>SPM-46-TC01-R</t>
        </is>
      </c>
      <c r="C24" s="17" t="inlineStr">
        <is>
          <t>Open a venue's availability and read the grid</t>
        </is>
      </c>
      <c r="D24" s="17" t="inlineStr">
        <is>
          <t>AC1, AC2</t>
        </is>
      </c>
      <c r="E24" s="17" t="inlineStr">
        <is>
          <t>Positive</t>
        </is>
      </c>
      <c r="F24" s="17" t="inlineStr">
        <is>
          <t>Rewritten: the story's SPM-46-TC01 is out of date (SPM-93).
Base seed data (no fixture script). Marina Grand Hall (MAR-GH) has an Approved booking for 'Straits Medical Research Symposium' on 7 Dec 2026, 09:00-18:00. Logged in as Marcus Wong.</t>
        </is>
      </c>
      <c r="G24" s="17" t="inlineStr">
        <is>
          <t>Venue: Marina Grand Hall (MAR-GH), then Jurong Expo Floor (JUR-EXP) | From 7 Dec 2026 To 13 Dec 2026</t>
        </is>
      </c>
      <c r="H24" s="17" t="inlineStr">
        <is>
          <t>1. Click 'Venues' in the sidebar
2. On the 'Marina Grand Hall' row, click 'View availability'
3. Set 'From' to 7 Dec 2026 and 'To' to 13 Dec 2026, then click 'Show availability'
4. Choose 'Jurong Expo Floor (JUR-EXP)' in the 'Venue' picker and click 'Show availability'</t>
        </is>
      </c>
      <c r="I24" s="17" t="inlineStr">
        <is>
          <t>Step 2: The page 'Marina Grand Hall availability' opens on the 7 days from today, with 'From' and 'To' filled in. The subtitle ends 'open 07:00–23:00 · setup 180 min, turnaround 120 min'. The grid has two columns, 'Day' and 'Schedule' - no AM, PM or Night columns.
Step 3: Seven rows, Mon 7 Dec 2026 to Sun 13 Dec 2026. 7 Dec lists 'Setup 06:00–09:00', 'Booked 09:00–18:00' and 'Turnaround 18:00–20:00', each '· Straits Medical Research Symposium'. 8 to 13 Dec show 'Free'.
Step 4: The title changes to 'Jurong Expo Floor availability' with 'open 06:00–23:00 · setup 240 min, turnaround 180 min', the range stays 7–13 Dec 2026, and every day shows 'Free'.</t>
        </is>
      </c>
      <c r="J24" s="16" t="n"/>
      <c r="K24" s="13" t="n"/>
      <c r="L24" s="7" t="n"/>
    </row>
    <row r="25" ht="138" customHeight="1" s="21">
      <c r="A25" s="17" t="n">
        <v>16</v>
      </c>
      <c r="B25" s="17" t="inlineStr">
        <is>
          <t>SPM-46-TC09-R</t>
        </is>
      </c>
      <c r="C25" s="17" t="inlineStr">
        <is>
          <t>Two overlapping unavailable periods are identified as overlapping</t>
        </is>
      </c>
      <c r="D25" s="17" t="inlineStr">
        <is>
          <t>AC5</t>
        </is>
      </c>
      <c r="E25" s="17" t="inlineStr">
        <is>
          <t>Positive</t>
        </is>
      </c>
      <c r="F25" s="17" t="inlineStr">
        <is>
          <t>Rewritten: the story's SPM-46-TC09 is out of date (SPM-93).
Base seed data. Jurong Expo Floor (JUR-EXP) has two overlapping unavailable periods: Maintenance 5-9 Nov 2026 and Safety 7-11 Nov 2026. Logged in as Marcus Wong.</t>
        </is>
      </c>
      <c r="G25" s="17" t="inlineStr">
        <is>
          <t>Venue: Jurong Expo Floor (JUR-EXP) | From 5 Nov 2026 To 11 Nov 2026</t>
        </is>
      </c>
      <c r="H25" s="17" t="inlineStr">
        <is>
          <t>1. Click 'Venues' in the sidebar, then 'View availability' on the 'Jurong Expo Floor' row
2. Set 'From' to 5 Nov 2026 and 'To' to 11 Nov 2026, then click 'Show availability'</t>
        </is>
      </c>
      <c r="I25" s="17" t="inlineStr">
        <is>
          <t>Step 2: A warning 'Some bookings or unavailable periods overlap' is shown. 5 and 6 Nov list 'Unavailable 00:00–24:00 · Maintenance'; 7, 8 and 9 Nov list both 'Unavailable … · Maintenance' and 'Unavailable … · Safety'; 10 and 11 Nov list 'Unavailable … · Safety'. Under 'Unavailable periods': 'Maintenance', 'Loading bay hoist inspection.', '5 Nov 2026, 00:00 – 9 Nov 2026, 23:59', 'Overlaps with: Safety (7 Nov 2026, 00:00 – 11 Nov 2026, 23:59)'; and 'Safety', 'Fire suppression system recertification.', '7 Nov 2026, 00:00 – 11 Nov 2026, 23:59', 'Overlaps with: Maintenance (5 Nov 2026, 00:00 – 9 Nov 2026, 23:59)'.</t>
        </is>
      </c>
      <c r="J25" s="16" t="n"/>
      <c r="K25" s="13" t="n"/>
      <c r="L25" s="7" t="n"/>
    </row>
    <row r="26" ht="183" customHeight="1" s="21">
      <c r="A26" s="17" t="n">
        <v>17</v>
      </c>
      <c r="B26" s="17" t="inlineStr">
        <is>
          <t>SPM-46-TC10</t>
        </is>
      </c>
      <c r="C26" s="17" t="inlineStr">
        <is>
          <t>An Event Coordinator and an Operations Manager can open the calendar</t>
        </is>
      </c>
      <c r="D26" s="17" t="inlineStr">
        <is>
          <t>AC6</t>
        </is>
      </c>
      <c r="E26" s="17" t="inlineStr">
        <is>
          <t>Positive</t>
        </is>
      </c>
      <c r="F26" s="17" t="inlineStr">
        <is>
          <t>READ FIRST: 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
Logged in as Event Coordinator: daniel.tan@connectsphere.com / password123</t>
        </is>
      </c>
      <c r="G26" s="17" t="inlineStr">
        <is>
          <t>Accounts: daniel.tan@connectsphere.com (Event Coordinator), grace.lim@connectsphere.com (Operations Manager)
Venue: Marina Grand Hall (MAR-GH)</t>
        </is>
      </c>
      <c r="H26" s="17" t="inlineStr">
        <is>
          <t>1. Click 'Venues' in the sidebar
2. On the 'Marina Grand Hall' row, click 'View availability'
3. Go back to 'Venues' and click elsewhere on the 'Marina Grand Hall' row
4. Sign out, sign in as the Operations Manager, and repeat the first two steps</t>
        </is>
      </c>
      <c r="I26" s="17" t="inlineStr">
        <is>
          <t>Both accounts have 'Venues' in the sidebar, and for both the 'Marina Grand Hall availability' page opens and shows the grid. Clicking elsewhere on the row does nothing — the Venues list stays read-only for both, because neither holds the permission that makes a row editable.</t>
        </is>
      </c>
      <c r="J26" s="16" t="n"/>
      <c r="K26" s="13" t="n"/>
      <c r="L26" s="7" t="n"/>
    </row>
    <row r="27" ht="108" customHeight="1" s="21">
      <c r="A27" s="17" t="n">
        <v>18</v>
      </c>
      <c r="B27" s="17" t="inlineStr">
        <is>
          <t>SPM-46-TC12-R</t>
        </is>
      </c>
      <c r="C27" s="17" t="inlineStr">
        <is>
          <t>An approved booking blocks its slots, and is listed, even while its event is still in planning</t>
        </is>
      </c>
      <c r="D27" s="17" t="inlineStr">
        <is>
          <t>AC3, AC7</t>
        </is>
      </c>
      <c r="E27" s="17" t="inlineStr">
        <is>
          <t>Positive</t>
        </is>
      </c>
      <c r="F27" s="17" t="inlineStr">
        <is>
          <t>Rewritten: the story's SPM-46-TC12 is out of date (SPM-93).
Base seed data. Marina Grand Hall (MAR-GH), setup 180 min, turnaround 120 min, has an Approved booking for 'Straits Medical Research Symposium', 7 Dec 2026 09:00-18:00, whose event is in Planning. Logged in as Daniel Tan.</t>
        </is>
      </c>
      <c r="G27" s="17" t="inlineStr">
        <is>
          <t>Venue: Marina Grand Hall (MAR-GH) | From 6 Dec 2026 To 7 Dec 2026</t>
        </is>
      </c>
      <c r="H27" s="17" t="inlineStr">
        <is>
          <t>1. Click 'Venues' in the sidebar, then 'View availability' on the 'Marina Grand Hall' row
2. Set 'From' to 6 Dec 2026 and 'To' to 7 Dec 2026, then click 'Show availability'</t>
        </is>
      </c>
      <c r="I27" s="17" t="inlineStr">
        <is>
          <t>Step 2: 6 Dec shows 'Free'. 7 Dec lists 'Setup 06:00–09:00', 'Booked 09:00–18:00' and 'Turnaround 18:00–20:00', each '· Straits Medical Research Symposium' - not 'Free'. Under 'Approved bookings': Straits Medical Research Symposium with the event status 'Planning', '7 Dec 2026, 09:00–18:00', 'Room in use 06:00–20:00', 'Layout: Theatre'.</t>
        </is>
      </c>
      <c r="J27" s="16" t="n"/>
      <c r="K27" s="13" t="n"/>
      <c r="L27" s="7" t="n"/>
    </row>
    <row r="28" ht="20" customHeight="1" s="21">
      <c r="A28" s="6" t="inlineStr">
        <is>
          <t>SPM-90  Check Each Venue Against Its Own Requirements  -  run npm run fixtures:spm90 before its first case</t>
        </is>
      </c>
      <c r="B28" s="16" t="n"/>
      <c r="C28" s="16" t="n"/>
      <c r="D28" s="16" t="n"/>
      <c r="E28" s="16" t="n"/>
      <c r="F28" s="16" t="n"/>
      <c r="G28" s="16" t="n"/>
      <c r="H28" s="16" t="n"/>
      <c r="I28" s="16" t="n"/>
      <c r="J28" s="16" t="n"/>
      <c r="K28" s="16" t="n"/>
      <c r="L28" s="16" t="n"/>
    </row>
    <row r="29" ht="168" customHeight="1" s="21">
      <c r="A29" s="17" t="n">
        <v>19</v>
      </c>
      <c r="B29" s="17" t="inlineStr">
        <is>
          <t>SPM-90-TC01</t>
        </is>
      </c>
      <c r="C29" s="17" t="inlineStr">
        <is>
          <t>The first venue request for an event starts on the event's own attendance and layout, and is listed with what the space is for</t>
        </is>
      </c>
      <c r="D29" s="17" t="inlineStr">
        <is>
          <t>AC1, AC2, AC5</t>
        </is>
      </c>
      <c r="E29" s="17" t="inlineStr">
        <is>
          <t>Positive</t>
        </is>
      </c>
      <c r="F29" s="17" t="inlineStr">
        <is>
          <t>Run `npm run fixtures:spm90` from the project folder before this case (it only touches the 'SPM90 …' events and venues, never anyone else's data). Do not run it again afterwards: go straight on to SPM-90-TC02, and reset after that one.
Logged out.</t>
        </is>
      </c>
      <c r="G29" s="17" t="inlineStr">
        <is>
          <t>Event: SPM90 Annual Conference | When: 7 Sep 2027, 09:00–17:00 | Expected attendance 150 | Layout Theatre | No sessions | Status: Planning | No booking requests yet
Venue: SPM90 Main Hall (SPM90-HALL), Theatre 200, Classroom 120
Nothing is typed on the request form: every field is left as it opens</t>
        </is>
      </c>
      <c r="H29" s="17" t="inlineStr">
        <is>
          <t>1. Log in as daniel.tan@connectsphere.com / password123
2. Click 'All Events' in the sidebar and open 'SPM90 Annual Conference'
3. Click the 'Venue' tab
4. Find 'SPM90 Main Hall (SPM90-HALL)' in the venue list (use Ctrl+F) and click 'Request booking' on it
5. Click 'Submit request'
6. Click 'Back to Venue'</t>
        </is>
      </c>
      <c r="I29" s="17" t="inlineStr">
        <is>
          <t>Step 3: A card 'The space you need' shows 'Expected attendance for this space' 150 and 'Room layout' Theatre, the event's own. 'SPM90 Main Hall (SPM90-HALL)' has the 'Suitable' badge.
Step 4: The 'Request a venue booking' page opens. 'What is this space for?' reads 'Main programme', 'Expected attendance for this space' reads 150 and 'Room layout' reads Theatre.
Step 5: A green alert 'Booking request sent to Venue Staff.' is shown.
Step 6: The 'Booking requests' card lists 'SPM90 Main Hall (SPM90-HALL)' with 'Main programme · 7 Sep 2027, 09:00–17:00 · Theatre · 150 attendees' and the 'Pending' badge.</t>
        </is>
      </c>
      <c r="J29" s="16" t="n"/>
      <c r="K29" s="13" t="n"/>
      <c r="L29" s="7" t="n"/>
    </row>
    <row r="30" ht="303" customHeight="1" s="21">
      <c r="A30" s="17" t="n">
        <v>20</v>
      </c>
      <c r="B30" s="17" t="inlineStr">
        <is>
          <t>SPM-90-TC02</t>
        </is>
      </c>
      <c r="C30" s="17" t="inlineStr">
        <is>
          <t>A breakout room too small for the whole event is suitable once it is checked against its own attendance and layout, and is requested and listed with its own purpose</t>
        </is>
      </c>
      <c r="D30" s="17" t="inlineStr">
        <is>
          <t>AC1, AC3, AC5</t>
        </is>
      </c>
      <c r="E30" s="17" t="inlineStr">
        <is>
          <t>Positive</t>
        </is>
      </c>
      <c r="F30" s="17" t="inlineStr">
        <is>
          <t>SPM-90-TC01 has just been run ('SPM90 Annual Conference' has a Pending request at SPM90 Main Hall for its main programme).
Still logged in as Daniel Tan, on the Venue tab of 'SPM90 Annual Conference' (the page titled 'Find a venue', reached with 'Back to Venue' at the end of SPM-90-TC01).
Run `npm run fixtures:spm90` after this case.</t>
        </is>
      </c>
      <c r="G30" s="17" t="inlineStr">
        <is>
          <t>Event: SPM90 Annual Conference | Expected attendance 150 | Layout Theatre | Mandatory accessibility requirement: Step-free access
SPM90 Breakout Room (SPM90-BRK): Theatre 30, Classroom 20, has Step-free access
SPM90 Annexe (SPM90-ANX): Theatre 30, Classroom 20, no Step-free access
Space: What is this space for? = Breakout room | Expected attendance for this space = 20 | Room layout = Classroom</t>
        </is>
      </c>
      <c r="H30" s="17" t="inlineStr">
        <is>
          <t xml:space="preserve">1. Click 'All Events' in the sidebar and open 'SPM90 Annual Conference'
2. Click the 'Venue' tab
3. Find 'SPM90 Breakout Room (SPM90-BRK)' in the venue list (use Ctrl+F)
4. In 'The space you need', change 'Expected attendance for this space' to 20, choose 'Classroom' in 'Room layout' and click 'Check venues'
5. Click 'Request booking' on 'SPM90 Breakout Room (SPM90-BRK)'
6. Type the purpose in 'What is this space for?' and click 'Submit request'
7. Click 'Back to Venue'
</t>
        </is>
      </c>
      <c r="I30" s="17" t="inlineStr">
        <is>
          <t xml:space="preserve">Step 3: Checked against the event's own 150 in Theatre, 'SPM90 Breakout Room (SPM90-BRK)' has the 'Not suitable' badge, the line 'Theatre capacity is 30 - this space expects 150.' and no 'Request booking' button.
Step 4: The list is checked again. 'SPM90 Breakout Room (SPM90-BRK)' now has the 'Suitable' badge and a 'Request booking' button. 'SPM90 Main Hall (SPM90-HALL)' is still 'Suitable'. 'SPM90 Annexe (SPM90-ANX)' is 'Not suitable' with only the line 'Missing accessibility feature: Step-free access.': the event's accessibility need still applies to this space.
Step 5: The 'Request a venue booking' page opens for 'SPM90 Breakout Room (SPM90-BRK)'. 'What is this space for?' is empty, 'Expected attendance for this space' reads 20 and 'Room layout' reads Classroom.
Step 6: A green alert 'Booking request sent to Venue Staff.' is shown. The request is not refused although the room seats far fewer than the event's 150.
Step 7: The 'Booking requests' card lists both requests, each with its own space: 'SPM90 Breakout Room (SPM90-BRK)' with 'Breakout room · 7 Sep 2027, 09:00–17:00 · Classroom · 20 attendees' and 'Pending'; 'SPM90 Main Hall (SPM90-HALL)' with 'Main programme · 7 Sep 2027, 09:00–17:00 · Theatre · 150 attendees' and 'Pending', unchanged.
</t>
        </is>
      </c>
      <c r="J30" s="16" t="n"/>
      <c r="K30" s="13" t="n"/>
      <c r="L30" s="7" t="n"/>
    </row>
    <row r="31" ht="348" customHeight="1" s="21">
      <c r="A31" s="17" t="n">
        <v>21</v>
      </c>
      <c r="B31" s="17" t="inlineStr">
        <is>
          <t>SPM-90-TC09-R</t>
        </is>
      </c>
      <c r="C31" s="17" t="inlineStr">
        <is>
          <t>Once Venue Staff approve the last pending room, an event with two venue bookings can be confirmed</t>
        </is>
      </c>
      <c r="D31" s="17" t="inlineStr">
        <is>
          <t>AC6</t>
        </is>
      </c>
      <c r="E31" s="17" t="inlineStr">
        <is>
          <t>Positive</t>
        </is>
      </c>
      <c r="F31" s="17" t="inlineStr">
        <is>
          <t>Rewritten: the story's SPM-90-TC09 is out of date (SPM-86, SPM-87, SPM-88).
Run npm run fixtures:spm90 before and after this case. 'SPM90 Awards Night' (16 Sep 2027, 09:00-17:00) is in Planning with SPM90 Main Hall Approved and SPM90 Breakout Room Pending. Logged out.</t>
        </is>
      </c>
      <c r="G31" s="17" t="inlineStr">
        <is>
          <t>Event: SPM90 Awards Night | SPM90 Main Hall (SPM90-HALL) Approved | SPM90 Breakout Room (SPM90-BRK) Pending</t>
        </is>
      </c>
      <c r="H31" s="17" t="inlineStr">
        <is>
          <t>1. Log in as marcus.wong@connectsphere.com / password123
2. Click 'Booking Requests' in the sidebar and find the 'SPM90 Breakout Room' card for 'SPM90 Awards Night' (use Ctrl+F)
3. Click 'Approve' on that card, then 'Approve' in the dialog
4. Log out, then log in as daniel.tan@connectsphere.com / password123
5. Click 'All Events' in the sidebar and open 'SPM90 Awards Night'
6. Click 'Submit for safety check'
7. Click 'Submit' in the dialog
8. Log out, then log in as hana.yusof@connectsphere.com / password123
9. Click 'Safety Checks' in the sidebar and open 'SPM90 Awards Night'
10. Click 'Record safety decision', choose 'Approve' and click 'Record decision'
11. Log out, then log in as daniel.tan@connectsphere.com / password123
12. Click 'All Events' in the sidebar and open 'SPM90 Awards Night'
13. Click 'Confirm event'
14. Click 'Confirm event' in the dialog</t>
        </is>
      </c>
      <c r="I31" s="17" t="inlineStr">
        <is>
          <t>Step 3: A green alert 'Booking approved' reads 'SPM90 Breakout Room (SPM90-BRK) for &lt;reference&gt; SPM90 Awards Night on 16 Sept 2027, 09:00–17:00 is now Approved — the room is booked.'
Step 5: The 'Venue bookings' card lists 'SPM90 Main Hall (SPM90-HALL) · Main programme · Theatre · seats 200' and 'SPM90 Breakout Room (SPM90-BRK) · Breakout room · Classroom · seats 20'.
Step 6: A dialog 'Submit for safety check?' reads 'SPM90 Awards Night will move to Safety review and the Safety Officer will be notified. Anything still outstanding or flagged for review will be listed instead.'
Step 7: 'The event has been submitted for a safety check. The Safety Officer has been notified.' is shown and the status badge reads 'Safety review'.
Step 10: 'Safety check approved. The coordinator has been notified.' is shown and the status badge reads 'Safety approved'.
Step 12: The status badge reads 'Safety approved' and the 'Confirm event' button is shown.
Step 13: A dialog 'Confirm this event?' reads 'SPM90 Awards Night will be marked Confirmed, and the organiser will be able to see the venue and equipment arranged for it. Anything still outstanding will be listed instead.'
Step 14: 'The event is confirmed. The organiser can now see the arrangements.' is shown and the status badge reads 'Confirmed'.</t>
        </is>
      </c>
      <c r="J31" s="16" t="n"/>
      <c r="K31" s="13" t="n"/>
      <c r="L31" s="7" t="n"/>
    </row>
    <row r="32" ht="258" customHeight="1" s="21">
      <c r="A32" s="17" t="n">
        <v>22</v>
      </c>
      <c r="B32" s="17" t="inlineStr">
        <is>
          <t>SPM-90-TC10-R</t>
        </is>
      </c>
      <c r="C32" s="17" t="inlineStr">
        <is>
          <t>An event with a single approved venue booking made before this change is listed without a purpose and is confirmed as before</t>
        </is>
      </c>
      <c r="D32" s="17" t="inlineStr">
        <is>
          <t>AC7</t>
        </is>
      </c>
      <c r="E32" s="17" t="inlineStr">
        <is>
          <t>Positive</t>
        </is>
      </c>
      <c r="F32" s="17" t="inlineStr">
        <is>
          <t>Rewritten: the story's SPM-90-TC10 is out of date (SPM-86, SPM-87, SPM-88).
Run npm run fixtures:spm90 before and after this case. 'SPM90 Solo Seminar' (21 Sep 2027, 09:00-12:00, 150 people, Theatre) is in Planning with one Approved booking at SPM90 Main Hall that has no purpose recorded. Logged in as Daniel Tan.</t>
        </is>
      </c>
      <c r="G32" s="17" t="inlineStr">
        <is>
          <t>Event: SPM90 Solo Seminar | Booking: SPM90 Main Hall (SPM90-HALL), Approved, no purpose</t>
        </is>
      </c>
      <c r="H32" s="17" t="inlineStr">
        <is>
          <t>1. Click 'All Events' in the sidebar and open 'SPM90 Solo Seminar'
2. Click 'Submit for safety check'
3. Click 'Submit' in the dialog
4. Log out, then log in as hana.yusof@connectsphere.com / password123
5. Click 'Safety Checks' in the sidebar and open 'SPM90 Solo Seminar'
6. Click 'Record safety decision', choose 'Approve' and click 'Record decision'
7. Log out, then log in as daniel.tan@connectsphere.com / password123
8. Click 'All Events' in the sidebar and open 'SPM90 Solo Seminar'
9. Click 'Confirm event'
10. Click 'Confirm event' in the dialog</t>
        </is>
      </c>
      <c r="I32" s="17" t="inlineStr">
        <is>
          <t>Step 1: The 'Venue' row reads 'SPM90 Main Hall (SPM90-HALL)' and the 'Venue bookings' card reads 'SPM90 Main Hall (SPM90-HALL) · Theatre · seats 200', with no purpose.
Step 2: A dialog 'Submit for safety check?' reads 'SPM90 Solo Seminar will move to Safety review and the Safety Officer will be notified. Anything still outstanding or flagged for review will be listed instead.'
Step 3: 'The event has been submitted for a safety check. The Safety Officer has been notified.' is shown and the status badge reads 'Safety review'.
Step 6: 'Safety check approved. The coordinator has been notified.' is shown and the status badge reads 'Safety approved'.
Step 8: The status badge reads 'Safety approved' and the 'Confirm event' button is shown.
Step 9: A dialog 'Confirm this event?' reads 'SPM90 Solo Seminar will be marked Confirmed, and the organiser will be able to see the venue and equipment arranged for it. Anything still outstanding will be listed instead.'
Step 10: 'The event is confirmed. The organiser can now see the arrangements.' is shown and the status badge reads 'Confirmed'.</t>
        </is>
      </c>
      <c r="J32" s="16" t="n"/>
      <c r="K32" s="13" t="n"/>
      <c r="L32" s="7" t="n"/>
    </row>
    <row r="33" ht="20" customHeight="1" s="21">
      <c r="A33" s="6" t="inlineStr">
        <is>
          <t>SPM-93  Book Venues in 15-Minute Units  -  run npm run fixtures:spm93 before its first case</t>
        </is>
      </c>
      <c r="B33" s="16" t="n"/>
      <c r="C33" s="16" t="n"/>
      <c r="D33" s="16" t="n"/>
      <c r="E33" s="16" t="n"/>
      <c r="F33" s="16" t="n"/>
      <c r="G33" s="16" t="n"/>
      <c r="H33" s="16" t="n"/>
      <c r="I33" s="16" t="n"/>
      <c r="J33" s="16" t="n"/>
      <c r="K33" s="16" t="n"/>
      <c r="L33" s="16" t="n"/>
    </row>
    <row r="34" ht="138" customHeight="1" s="21">
      <c r="A34" s="17" t="n">
        <v>23</v>
      </c>
      <c r="B34" s="17" t="inlineStr">
        <is>
          <t>SPM-93-TC01</t>
        </is>
      </c>
      <c r="C34" s="17" t="inlineStr">
        <is>
          <t>A request defaults to the event's times widened to the 15-minute grid, shows the setup and turnaround around them, and is sent as times, not slots</t>
        </is>
      </c>
      <c r="D34" s="17" t="inlineStr">
        <is>
          <t>AC1, AC2, AC6</t>
        </is>
      </c>
      <c r="E34" s="17" t="inlineStr">
        <is>
          <t>Positive</t>
        </is>
      </c>
      <c r="F34" s="17" t="inlineStr">
        <is>
          <t>Run `npm run fixtures:spm93` from the project folder before this case (it only touches the 'SPM93 …' events and venues, never anyone else's data). Run it again after this case: the case sends a booking request.
Logged out.</t>
        </is>
      </c>
      <c r="G34" s="17" t="inlineStr">
        <is>
          <t>Event: SPM93 Product Clinic | When: 9 Jun 2027, 14:10–15:50 | No sessions | Status: Planning
Venue: SPM93 Studio (SPM93-STU) | Open 07:00–22:00 | Setup 30 min | Turnaround 45 min</t>
        </is>
      </c>
      <c r="H34" s="17" t="inlineStr">
        <is>
          <t>1. Log in as daniel.tan@connectsphere.com / password123
2. Click 'All Events' in the sidebar and open 'SPM93 Product Clinic'
3. Click the 'Venue' tab
4. Click 'Request booking' on 'SPM93 Studio (SPM93-STU)'
5. Click 'Submit request'
6. Click 'Back to Venue'</t>
        </is>
      </c>
      <c r="I34" s="17" t="inlineStr">
        <is>
          <t>Step 4: The 'Request a venue booking' page opens for 'SPM93 Product Clinic' at 'SPM93 Studio (SPM93-STU)'. There are no AM, PM or Night checkboxes. 'Date' shows 9 Jun 2027, 'Start time' shows 14:00 and 'End time' shows 16:00 (the event's 14:10–15:50 widened to the 15-minute grid). Below them: 'Setup: 13:30–14:00 (30 min)', 'Turnaround: 16:00–16:45 (45 min)' and 'Room in use: 13:30–16:45'.
Step 5: A green alert 'Booking request sent to Venue Staff.' is shown.
Step 6: The Venue tab's 'Booking requests' card lists 'SPM93 Studio (SPM93-STU)' with '9 Jun 2027, 14:00–16:00 · Theatre' and the 'Pending' badge.</t>
        </is>
      </c>
      <c r="J34" s="16" t="n"/>
      <c r="K34" s="13" t="n"/>
      <c r="L34" s="7" t="n"/>
    </row>
    <row r="35" ht="168" customHeight="1" s="21">
      <c r="A35" s="17" t="n">
        <v>24</v>
      </c>
      <c r="B35" s="17" t="inlineStr">
        <is>
          <t>SPM-93-TC05</t>
        </is>
      </c>
      <c r="C35" s="17" t="inlineStr">
        <is>
          <t>The old lunch and dinner gaps (12:00–13:00 and 18:00–19:00) can be booked</t>
        </is>
      </c>
      <c r="D35" s="17" t="inlineStr">
        <is>
          <t>AC4, AC1</t>
        </is>
      </c>
      <c r="E35" s="17" t="inlineStr">
        <is>
          <t>Positive</t>
        </is>
      </c>
      <c r="F35" s="17" t="inlineStr">
        <is>
          <t>Run `npm run fixtures:spm93` before this case, and again after it: the case sends two booking requests.
Logged in as Daniel Tan (daniel.tan@connectsphere.com / password123).</t>
        </is>
      </c>
      <c r="G35" s="17" t="inlineStr">
        <is>
          <t>Events: SPM93 Lunch and Learn, 14 Jun 2027, 12:00–13:00; SPM93 Sunset Talk, 14 Jun 2027, 18:00–19:00
Venue: SPM93 Quick Room (SPM93-QCK) | Open 07:00–22:00 | Setup 0 min | Turnaround 0 min</t>
        </is>
      </c>
      <c r="H35" s="17" t="inlineStr">
        <is>
          <t>1. Click 'All Events' in the sidebar and open 'SPM93 Lunch and Learn'
2. Click the 'Venue' tab
3. Click 'Request booking' on 'SPM93 Quick Room (SPM93-QCK)'
4. Click 'Submit request'
5. Click 'All Events' in the sidebar and open 'SPM93 Sunset Talk'
6. Click the 'Venue' tab
7. Click 'Request booking' on 'SPM93 Quick Room (SPM93-QCK)'
8. Click 'Submit request'
9. Click 'Back to Venue'</t>
        </is>
      </c>
      <c r="I35" s="17" t="inlineStr">
        <is>
          <t>Step 3: 'Date' shows 14 Jun 2027, 'Start time' 12:00 and 'End time' 13:00.
Step 4: A green alert 'Booking request sent to Venue Staff.' is shown.
Step 7: 'Date' shows 14 Jun 2027, 'Start time' 18:00 and 'End time' 19:00.
Step 8: A green alert 'Booking request sent to Venue Staff.' is shown.
Step 9: The 'Booking requests' card lists 'SPM93 Quick Room (SPM93-QCK)' with '14 Jun 2027, 18:00–19:00 · Theatre' and the 'Pending' badge.</t>
        </is>
      </c>
      <c r="J35" s="16" t="n"/>
      <c r="K35" s="13" t="n"/>
      <c r="L35" s="7" t="n"/>
    </row>
    <row r="36" ht="153" customHeight="1" s="21">
      <c r="A36" s="17" t="n">
        <v>25</v>
      </c>
      <c r="B36" s="17" t="inlineStr">
        <is>
          <t>SPM-93-TC13</t>
        </is>
      </c>
      <c r="C36" s="17" t="inlineStr">
        <is>
          <t>Venue Staff see a request's times and the room in use including setup and turnaround, on the card and in the approve dialog</t>
        </is>
      </c>
      <c r="D36" s="17" t="inlineStr">
        <is>
          <t>AC8</t>
        </is>
      </c>
      <c r="E36" s="17" t="inlineStr">
        <is>
          <t>Positive</t>
        </is>
      </c>
      <c r="F36" s="17" t="inlineStr">
        <is>
          <t>`npm run fixtures:spm93` has been run since the last full `npx prisma db seed`.
'SPM93 Partner Lunch' has a Pending booking request at SPM93 Studio on 10 Jun 2027, 12:00–13:00.
Logged in as Marcus Wong (marcus.wong@connectsphere.com / password123), Venue Staff.
Nothing is saved in this case: the approve dialog is cancelled.</t>
        </is>
      </c>
      <c r="G36" s="17" t="inlineStr">
        <is>
          <t>Request: SPM93 Partner Lunch at SPM93 Studio (SPM93-STU), 10 Jun 2027, 12:00–13:00
Venue: setup 30 min, turnaround 45 min</t>
        </is>
      </c>
      <c r="H36" s="17" t="inlineStr">
        <is>
          <t>1. Click 'Booking Requests' in the sidebar
2. Find the 'SPM93 Studio' card for 'SPM93 Partner Lunch' (use Ctrl+F) and click 'Approve'
3. Click 'Cancel'</t>
        </is>
      </c>
      <c r="I36" s="17" t="inlineStr">
        <is>
          <t>Step 1: The 'Booking Requests' page lists a card 'SPM93 Studio (SPM93-STU)' for 'SPM93 Partner Lunch' with the 'Pending' badge. Its 'Requested' row reads '10 Jun 2027, 12:00–13:00' and under it 'Setup: 11:30–12:00 (30 min)', 'Turnaround: 13:00–13:45 (45 min)' and 'Room in use: 11:30–13:45'. Nothing on the card mentions AM, PM or Night.
Step 2: The 'Approve this booking?' dialog reads 'This books SPM93 Studio (SPM93-STU) for &lt;reference&gt; SPM93 Partner Lunch on 10 Jun 2027, 12:00–13:00. No other event can then be booked into the room from 11:30 to 13:45, which includes its setup and turnaround time.'
Step 3: The dialog closes and the card still shows 'Pending'.</t>
        </is>
      </c>
      <c r="J36" s="16" t="n"/>
      <c r="K36" s="13" t="n"/>
      <c r="L36" s="7" t="n"/>
    </row>
    <row r="37" ht="198" customHeight="1" s="21">
      <c r="A37" s="17" t="n">
        <v>26</v>
      </c>
      <c r="B37" s="17" t="inlineStr">
        <is>
          <t>SPM-93-TC15</t>
        </is>
      </c>
      <c r="C37" s="17" t="inlineStr">
        <is>
          <t>The availability calendar shows an approved booking and a pending hold at their actual times, with setup and turnaround as separate entries</t>
        </is>
      </c>
      <c r="D37" s="17" t="inlineStr">
        <is>
          <t>AC9</t>
        </is>
      </c>
      <c r="E37" s="17" t="inlineStr">
        <is>
          <t>Positive</t>
        </is>
      </c>
      <c r="F37" s="17" t="inlineStr">
        <is>
          <t>`npm run fixtures:spm93` has been run since the last full `npx prisma db seed`, and no booking request has been sent for an 'SPM93 …' event since.
Logged in as Daniel Tan (daniel.tan@connectsphere.com / password123).
Nothing is saved in this case.</t>
        </is>
      </c>
      <c r="G37" s="17" t="inlineStr">
        <is>
          <t>Venue: SPM93 Studio (SPM93-STU) | Open 07:00–22:00 | Setup 30 min | Turnaround 45 min
Approved: SPM93 Morning Masterclass, 8 Jun 2027, 10:00–12:00
Pending: SPM93 Partner Lunch, 10 Jun 2027, 12:00–13:00</t>
        </is>
      </c>
      <c r="H37" s="17" t="inlineStr">
        <is>
          <t>1. Click 'Venues' in the sidebar
2. On the 'SPM93 Studio' row, click 'View availability'
3. Set 'From' to 8 Jun 2027 and 'To' to 10 Jun 2027 and click 'Show availability'</t>
        </is>
      </c>
      <c r="I37" s="17" t="inlineStr">
        <is>
          <t>Step 2: The 'SPM93 Studio availability' page opens. The grid has two columns, 'Day' and 'Schedule'; there are no AM, PM or Night columns.
Step 3: The subtitle reads '8 Jun 2027 – 10 Jun 2027 · open 07:00–22:00 · setup 30 min, turnaround 45 min'. Three day rows. 'Tue 8 Jun 2027' lists, in this order, 'Setup 09:30–10:00 · SPM93 Morning Masterclass', 'Booked 10:00–12:00 · SPM93 Morning Masterclass' and 'Turnaround 12:00–12:45 · SPM93 Morning Masterclass'. 'Wed 9 Jun 2027' shows 'Free'. 'Thu 10 Jun 2027' lists 'Setup 11:30–12:00 · SPM93 Partner Lunch', 'Requested 12:00–13:00 · SPM93 Partner Lunch' and 'Turnaround 13:00–13:45 · SPM93 Partner Lunch'. The 'Approved bookings' card lists SPM93 Morning Masterclass with '8 Jun 2027, 10:00–12:00' and 'Room in use 09:30–12:45'. The 'Requested, not yet approved' card lists SPM93 Partner Lunch with '10 Jun 2027, 12:00–13:00'. Nothing on the page mentions AM, PM or Night slots.</t>
        </is>
      </c>
      <c r="J37" s="16" t="n"/>
      <c r="K37" s="13" t="n"/>
      <c r="L37" s="7" t="n"/>
    </row>
    <row r="38" ht="20" customHeight="1" s="21">
      <c r="A38" s="6" t="inlineStr">
        <is>
          <t>SPM-71  View Notifications  -  run npm run fixtures:spm71 before its first case</t>
        </is>
      </c>
      <c r="B38" s="16" t="n"/>
      <c r="C38" s="16" t="n"/>
      <c r="D38" s="16" t="n"/>
      <c r="E38" s="16" t="n"/>
      <c r="F38" s="16" t="n"/>
      <c r="G38" s="16" t="n"/>
      <c r="H38" s="16" t="n"/>
      <c r="I38" s="16" t="n"/>
      <c r="J38" s="16" t="n"/>
      <c r="K38" s="16" t="n"/>
      <c r="L38" s="16" t="n"/>
    </row>
    <row r="39" ht="198" customHeight="1" s="21">
      <c r="A39" s="17" t="n">
        <v>27</v>
      </c>
      <c r="B39" s="17" t="inlineStr">
        <is>
          <t>SPM-71-TC01</t>
        </is>
      </c>
      <c r="C39" s="17" t="inlineStr">
        <is>
          <t>A coordinator sees their five notifications newest first, each saying what happened, which event and when</t>
        </is>
      </c>
      <c r="D39" s="17" t="inlineStr">
        <is>
          <t>AC1, AC2, AC7</t>
        </is>
      </c>
      <c r="E39" s="17" t="inlineStr">
        <is>
          <t>Positive</t>
        </is>
      </c>
      <c r="F39" s="17" t="inlineStr">
        <is>
          <t>npm run fixtures:spm71 has been run (it creates the test accounts and resets their notifications without reseeding). Logged in as Leon Koh (Event Coordinator).</t>
        </is>
      </c>
      <c r="G39" s="17" t="inlineStr">
        <is>
          <t>Coordinator: leon.koh@connectsphere.com / password123
Leon's notifications, newest first: You have been assigned an event (12 Oct 2026, 09:00), Booking needs review (11 Oct 2026, 15:30), Equipment out of service - reservation needs review (10 Oct 2026, 11:00), An event has been reassigned (9 Oct 2026, 17:00), Equipment out of service - reservation needs review (8 Oct 2026, 16:45)</t>
        </is>
      </c>
      <c r="H39" s="17" t="inlineStr">
        <is>
          <t>1. Click 'Notifications' in the sidebar</t>
        </is>
      </c>
      <c r="I39" s="17" t="inlineStr">
        <is>
          <t>Step 1: The Notifications page lists exactly five notifications, newest first: 'You have been assigned an event' (12 Oct 2026, 09:00), 'Booking needs review' (11 Oct 2026, 15:30), 'Equipment out of service - reservation needs review' (10 Oct 2026, 11:00), 'An event has been reassigned' (9 Oct 2026, 17:00) and 'Equipment out of service - reservation needs review' (8 Oct 2026, 16:45). Each shows its message, the event it is about with its reference (e.g. 'SPM71 Harbour Lights Gala · EVT-…'), and the date and time it happened. Ivy Lim's 'You have been assigned an event' for SPM71 Reassigned Showcase is not listed.</t>
        </is>
      </c>
      <c r="J39" s="16" t="n"/>
      <c r="K39" s="13" t="n"/>
      <c r="L39" s="7" t="n"/>
    </row>
    <row r="40" ht="108" customHeight="1" s="21">
      <c r="A40" s="17" t="n">
        <v>28</v>
      </c>
      <c r="B40" s="17" t="inlineStr">
        <is>
          <t>SPM-71-TC03</t>
        </is>
      </c>
      <c r="C40" s="17" t="inlineStr">
        <is>
          <t>Marking one notification as read removes its Unread label and lowers the unread count</t>
        </is>
      </c>
      <c r="D40" s="17" t="inlineStr">
        <is>
          <t>AC3, AC4</t>
        </is>
      </c>
      <c r="E40" s="17" t="inlineStr">
        <is>
          <t>Positive</t>
        </is>
      </c>
      <c r="F40" s="17" t="inlineStr">
        <is>
          <t>THIS RUN: SPM-71-TC04 is not selected. Skip it, and run the fixture script once the selected cases that follow on from this one are done.
Run npm run fixtures:spm71 before this case. Logged in as Leon Koh (Event Coordinator). This case changes data: go straight on to SPM-71-TC04, and run npm run fixtures:spm71 after it.</t>
        </is>
      </c>
      <c r="G40" s="17" t="inlineStr">
        <is>
          <t>Notification: Booking needs review (11 Oct 2026, 15:30)</t>
        </is>
      </c>
      <c r="H40" s="17" t="inlineStr">
        <is>
          <t>1. Click 'Notifications' in the sidebar
2. Click 'Mark as read' on 'Booking needs review'</t>
        </is>
      </c>
      <c r="I40" s="17" t="inlineStr">
        <is>
          <t>Step 1: Three notifications are Unread, and the sidebar's 'Notifications' link shows '3'.
Step 2: 'Booking needs review' loses its 'Unread' label, its bold and its 'Mark as read' button. The bell and the sidebar's 'Notifications' link now show '2'.</t>
        </is>
      </c>
      <c r="J40" s="16" t="n"/>
      <c r="K40" s="13" t="n"/>
      <c r="L40" s="7" t="n"/>
    </row>
    <row r="41" ht="48" customHeight="1" s="21">
      <c r="A41" s="17" t="n">
        <v>29</v>
      </c>
      <c r="B41" s="17" t="inlineStr">
        <is>
          <t>SPM-71-TC05</t>
        </is>
      </c>
      <c r="C41" s="17" t="inlineStr">
        <is>
          <t>Selecting a notification opens its event and marks it as read</t>
        </is>
      </c>
      <c r="D41" s="17" t="inlineStr">
        <is>
          <t>AC5, AC4</t>
        </is>
      </c>
      <c r="E41" s="17" t="inlineStr">
        <is>
          <t>Positive</t>
        </is>
      </c>
      <c r="F41" s="17" t="inlineStr">
        <is>
          <t>Run npm run fixtures:spm71 before and after this case. Logged in as Leon Koh (Event Coordinator).</t>
        </is>
      </c>
      <c r="G41" s="17" t="inlineStr">
        <is>
          <t>Notification: You have been assigned an event (SPM71 Harbour Lights Gala)</t>
        </is>
      </c>
      <c r="H41" s="17" t="inlineStr">
        <is>
          <t>1. Click 'Notifications' in the sidebar
2. Click 'You have been assigned an event'
3. Click 'Notifications' in the sidebar</t>
        </is>
      </c>
      <c r="I41" s="17" t="inlineStr">
        <is>
          <t>Step 2: The Overview of 'SPM71 Harbour Lights Gala' opens.
Step 3: 'You have been assigned an event' is no longer labelled 'Unread', and the sidebar's 'Notifications' link shows '2'.</t>
        </is>
      </c>
      <c r="J41" s="16" t="n"/>
      <c r="K41" s="13" t="n"/>
      <c r="L41" s="7" t="n"/>
    </row>
    <row r="42" ht="20" customHeight="1" s="21">
      <c r="A42" s="6" t="inlineStr">
        <is>
          <t>SPM-51  Register for Event  -  run npm run fixtures:spm51 before its first case</t>
        </is>
      </c>
      <c r="B42" s="16" t="n"/>
      <c r="C42" s="16" t="n"/>
      <c r="D42" s="16" t="n"/>
      <c r="E42" s="16" t="n"/>
      <c r="F42" s="16" t="n"/>
      <c r="G42" s="16" t="n"/>
      <c r="H42" s="16" t="n"/>
      <c r="I42" s="16" t="n"/>
      <c r="J42" s="16" t="n"/>
      <c r="K42" s="16" t="n"/>
      <c r="L42" s="16" t="n"/>
    </row>
    <row r="43" ht="123" customHeight="1" s="21">
      <c r="A43" s="17" t="n">
        <v>30</v>
      </c>
      <c r="B43" s="17" t="inlineStr">
        <is>
          <t>SPM-51-TC01</t>
        </is>
      </c>
      <c r="C43" s="17" t="inlineStr">
        <is>
          <t>Browse Events lists the Confirmed events with registration enabled, each with its registration state</t>
        </is>
      </c>
      <c r="D43" s="17" t="inlineStr">
        <is>
          <t>AC1</t>
        </is>
      </c>
      <c r="E43" s="17" t="inlineStr">
        <is>
          <t>Positive</t>
        </is>
      </c>
      <c r="F43" s="17" t="inlineStr">
        <is>
          <t>Test data loaded: `npm run fixtures:spm51` has been run from the project folder since the last full `npx prisma db seed` (it only touches the 'SPM51 …' events, never anyone else's data).
Logged in as Chua Mei Ling (chua.mei.ling@example.com / password123), an Attendee.
Nothing is saved in this case.</t>
        </is>
      </c>
      <c r="G43" s="17" t="inlineStr">
        <is>
          <t>Attendee: Chua Mei Ling | Today: after 1 Sept 2026 and before 1 Nov 2027</t>
        </is>
      </c>
      <c r="H43" s="17" t="inlineStr">
        <is>
          <t>1. Click 'Browse Events' in the sidebar</t>
        </is>
      </c>
      <c r="I43" s="17" t="inlineStr">
        <is>
          <t>Step 1: The 'Browse Events' page opens. Among the events listed are 'SPM51 Harbour Open House' and 'SPM51 Last Seat Masterclass' with the badge 'Open', 'SPM51 Early Bird Seminar' with 'Not open yet' and 'Opens 1 Nov 2027, 09:00' beside it, 'SPM51 Closed Doors Workshop' with 'Closed', 'SPM51 Undated Talk' with 'Dates not set' and 'SPM51 Sold Out Summit' with 'Full'. Each shows its date and time and the company 'Straits Medical Institute'. 'SPM51 Private Board Dinner' (registration off) and 'SPM51 Planning Stage Forum' (not Confirmed) are not listed.</t>
        </is>
      </c>
      <c r="J43" s="16" t="n"/>
      <c r="K43" s="13" t="n"/>
      <c r="L43" s="7" t="n"/>
    </row>
    <row r="44" ht="138" customHeight="1" s="21">
      <c r="A44" s="17" t="n">
        <v>31</v>
      </c>
      <c r="B44" s="17" t="inlineStr">
        <is>
          <t>SPM-51-TC02</t>
        </is>
      </c>
      <c r="C44" s="17" t="inlineStr">
        <is>
          <t>An attendee registers for an eligible event, and the registration is kept</t>
        </is>
      </c>
      <c r="D44" s="17" t="inlineStr">
        <is>
          <t>AC2, AC5</t>
        </is>
      </c>
      <c r="E44" s="17" t="inlineStr">
        <is>
          <t>Positive</t>
        </is>
      </c>
      <c r="F44" s="17" t="inlineStr">
        <is>
          <t>Test data loaded: `npm run fixtures:spm51` has been run from the project folder since the last full `npx prisma db seed` (it only touches the 'SPM51 …' events, never anyone else's data).
Before and after: run `npm run fixtures:spm51` (never `npx prisma db seed`, which wipes everyone's data).
Logged in as Chua Mei Ling (chua.mei.ling@example.com / password123), an Attendee.</t>
        </is>
      </c>
      <c r="G44" s="17" t="inlineStr">
        <is>
          <t>Event: SPM51 Harbour Open House (Confirmed, capacity 50, open 1 Sept 2026 09:00 to 31 Dec 2027 17:00) | Dietary requirements: Vegetarian</t>
        </is>
      </c>
      <c r="H44" s="17" t="inlineStr">
        <is>
          <t>1. Click 'Browse Events' in the sidebar
2. Click 'SPM51 Harbour Open House'
3. Enter 'Vegetarian' in 'Dietary requirements'
4. Click 'Register'
5. Reload the page</t>
        </is>
      </c>
      <c r="I44" s="17" t="inlineStr">
        <is>
          <t>Step 2: The event page opens. The Registration card shows 'Registration: Enabled', 'Capacity: 50', 'Opens: 1 Sept 2026, 09:00' and 'Closes: 31 Dec 2027, 17:00'. The 'Your registration' card shows the optional fields 'Dietary requirements' and 'Accessibility requirements' and a 'Register' button.
Step 4: A green alert 'You're registered for this event.' appears, with the status badge 'Registered'. The Register button is gone.
Step 5: The 'Your registration' card still shows the 'Registered' badge and 'You registered on &lt;today's date&gt;.', with no Register button.</t>
        </is>
      </c>
      <c r="J44" s="16" t="n"/>
      <c r="K44" s="13" t="n"/>
      <c r="L44" s="7" t="n"/>
    </row>
    <row r="45" ht="333" customHeight="1" s="21">
      <c r="A45" s="17" t="n">
        <v>32</v>
      </c>
      <c r="B45" s="17" t="inlineStr">
        <is>
          <t>SPM-51-TC11</t>
        </is>
      </c>
      <c r="C45" s="17" t="inlineStr">
        <is>
          <t>My Registrations lists the attendee's registrations with their status</t>
        </is>
      </c>
      <c r="D45" s="17" t="inlineStr">
        <is>
          <t>AC6</t>
        </is>
      </c>
      <c r="E45" s="17" t="inlineStr">
        <is>
          <t>Positive</t>
        </is>
      </c>
      <c r="F45" s="17" t="inlineStr">
        <is>
          <t>READ FIRST: v2 (2026-10-27): A waiting attendee's 'Your registration' card now reads 'You're number 1 on the waiting list.' (not 'You're on the waiting list.') and has a 'Leave waiting list' button; My Registrations also shows 'Number 1 in the queue' under the 'Waiting list' badge (SPM-66 AC3 and AC4: the Attendee sees their position and can leave the list). Read the expected result with the new wording. The behaviour this case checks is unchanged. (Step 2: still no 'Register' button.)
Test data loaded: `npm run fixtures:spm51` has been run from the project folder since the last full `npx prisma db seed` (it only touches the 'SPM51 …' events, never anyone else's data).
Logged in as Jocelyn Pang (jocelyn.pang@example.com / password123), an Attendee registered for 'SPM51 Last Seat Masterclass' and on the waiting list for 'SPM51 Sold Out Summit'. (The base seed may register her for other events too; those rows are listed as well.)
Nothing is saved in this case.</t>
        </is>
      </c>
      <c r="G45" s="17" t="inlineStr">
        <is>
          <t>Attendee: Jocelyn Pang | SPM51 Last Seat Masterclass: registered | SPM51 Sold Out Summit: waitlisted</t>
        </is>
      </c>
      <c r="H45" s="17" t="inlineStr">
        <is>
          <t>1. Click 'My Registrations' in the sidebar
2. Click 'SPM51 Sold Out Summit'</t>
        </is>
      </c>
      <c r="I45" s="17" t="inlineStr">
        <is>
          <t>Step 1: The 'My Registrations' page opens with a table of Event, When and Status. 'SPM51 Last Seat Masterclass' (22 Jan 2028, 09:00–17:00) shows the badge 'Registered', and 'SPM51 Sold Out Summit' (29 Jan 2028, 09:00–17:00) shows 'Waiting list'.
Step 2: The 'SPM51 Sold Out Summit' event page opens. The 'Your registration' card shows the 'Waiting list' badge and 'You're on the waiting list.', with no 'Register' button.</t>
        </is>
      </c>
      <c r="J45" s="16" t="n"/>
      <c r="K45" s="13" t="n"/>
      <c r="L45" s="7" t="n"/>
    </row>
    <row r="46" ht="20" customHeight="1" s="21">
      <c r="A46" s="6" t="inlineStr">
        <is>
          <t>SPM-52  Withdraw Registration  -  run npm run fixtures:spm52 before its first case</t>
        </is>
      </c>
      <c r="B46" s="16" t="n"/>
      <c r="C46" s="16" t="n"/>
      <c r="D46" s="16" t="n"/>
      <c r="E46" s="16" t="n"/>
      <c r="F46" s="16" t="n"/>
      <c r="G46" s="16" t="n"/>
      <c r="H46" s="16" t="n"/>
      <c r="I46" s="16" t="n"/>
      <c r="J46" s="16" t="n"/>
      <c r="K46" s="16" t="n"/>
      <c r="L46" s="16" t="n"/>
    </row>
    <row r="47" ht="153" customHeight="1" s="21">
      <c r="A47" s="17" t="n">
        <v>33</v>
      </c>
      <c r="B47" s="17" t="inlineStr">
        <is>
          <t>SPM-52-TC01</t>
        </is>
      </c>
      <c r="C47" s="17" t="inlineStr">
        <is>
          <t>The organiser sees how many places are taken and how many attendees have withdrawn</t>
        </is>
      </c>
      <c r="D47" s="17" t="inlineStr">
        <is>
          <t>AC5</t>
        </is>
      </c>
      <c r="E47" s="17" t="inlineStr">
        <is>
          <t>Positive</t>
        </is>
      </c>
      <c r="F47" s="17" t="inlineStr">
        <is>
          <t>Test data loaded: `npm run fixtures:spm52` has been run from the project folder since the last full `npx prisma db seed` (it only touches the 'SPM52 …' events, never anyone else's data), and nobody has withdrawn from 'SPM52 Riverside Forum' since.
Logged in as Evelyn Chen (evelyn.chen@straitsmedic.com / password123), who organised every 'SPM52 …' event.
Nothing is saved in this case.</t>
        </is>
      </c>
      <c r="G47" s="17" t="inlineStr">
        <is>
          <t>Event: SPM52 Riverside Forum (capacity 10; 4 registered, 1 withdrawn) | Organiser: Evelyn Chen</t>
        </is>
      </c>
      <c r="H47" s="17" t="inlineStr">
        <is>
          <t>1. Click 'My Events' in the sidebar
2. Click 'SPM52 Riverside Forum' in the list</t>
        </is>
      </c>
      <c r="I47" s="17" t="inlineStr">
        <is>
          <t>Step 2: The event page opens with the heading 'SPM52 Riverside Forum'. The Registration card shows 'Registration' Enabled, 'Capacity' 10, 'Places taken' '4 of 10 · 6 left' and 'Withdrawn' '1'.</t>
        </is>
      </c>
      <c r="J47" s="16" t="n"/>
      <c r="K47" s="13" t="n"/>
      <c r="L47" s="7" t="n"/>
    </row>
    <row r="48" ht="168" customHeight="1" s="21">
      <c r="A48" s="17" t="n">
        <v>34</v>
      </c>
      <c r="B48" s="17" t="inlineStr">
        <is>
          <t>SPM-52-TC02</t>
        </is>
      </c>
      <c r="C48" s="17" t="inlineStr">
        <is>
          <t>A registered attendee withdraws from My Registrations, and the registration is shown as Withdrawn</t>
        </is>
      </c>
      <c r="D48" s="17" t="inlineStr">
        <is>
          <t>AC1, AC2</t>
        </is>
      </c>
      <c r="E48" s="17" t="inlineStr">
        <is>
          <t>Positive</t>
        </is>
      </c>
      <c r="F48" s="17" t="inlineStr">
        <is>
          <t>Before: run `npm run fixtures:spm52` (never `npx prisma db seed`, which wipes everyone's data).
Do not reset after: SPM-52-TC03 and SPM-52-TC04 continue from this withdrawal; reset after SPM-52-TC04.
Logged in as Marcus Yeo (marcus.yeo@example.com / password123), an Attendee.</t>
        </is>
      </c>
      <c r="G48" s="17" t="inlineStr">
        <is>
          <t>Attendee: Marcus Yeo | Event: SPM52 Riverside Forum</t>
        </is>
      </c>
      <c r="H48" s="17" t="inlineStr">
        <is>
          <t>1. Click 'My Registrations' in the sidebar
2. Click 'Withdraw' on the 'SPM52 Riverside Forum' row
3. Click 'Withdraw' in the dialog
4. Refresh the page (F5)</t>
        </is>
      </c>
      <c r="I48" s="17" t="inlineStr">
        <is>
          <t>Step 1: The 'My Registrations' page lists 'SPM52 Riverside Forum' (4 Mar 2028, 09:00–17:00) with the badge 'Registered' and a 'Withdraw' button.
Step 2: The event page does not open. A dialog asks 'Withdraw from SPM52 Riverside Forum?' and says 'Your place is released and can be taken by someone else. To attend, you would have to register again, and the event may be full by then.', with the buttons 'Keep my place' and 'Withdraw'.
Step 3: The dialog closes. A green message says 'You have withdrawn from SPM52 Riverside Forum.' The row's badge is now 'Withdrawn' and it has no 'Withdraw' button.
Step 4: 'SPM52 Riverside Forum' is still listed with the badge 'Withdrawn' and no 'Withdraw' button.</t>
        </is>
      </c>
      <c r="J48" s="16" t="n"/>
      <c r="K48" s="13" t="n"/>
      <c r="L48" s="7" t="n"/>
    </row>
    <row r="49" ht="123" customHeight="1" s="21">
      <c r="A49" s="17" t="n">
        <v>35</v>
      </c>
      <c r="B49" s="17" t="inlineStr">
        <is>
          <t>SPM-52-TC03</t>
        </is>
      </c>
      <c r="C49" s="17" t="inlineStr">
        <is>
          <t>After withdrawing, the event page no longer shows the attendee as registered and offers Register instead</t>
        </is>
      </c>
      <c r="D49" s="17" t="inlineStr">
        <is>
          <t>AC3</t>
        </is>
      </c>
      <c r="E49" s="17" t="inlineStr">
        <is>
          <t>Positive</t>
        </is>
      </c>
      <c r="F49" s="17" t="inlineStr">
        <is>
          <t>SPM-52-TC02 has just been run (Marcus Yeo has withdrawn from 'SPM52 Riverside Forum').
Do not reset after: SPM-52-TC04 continues from the same withdrawal.
Logged in as Marcus Yeo (marcus.yeo@example.com / password123), an Attendee.
Nothing is saved in this case: do not click Register.</t>
        </is>
      </c>
      <c r="G49" s="17" t="inlineStr">
        <is>
          <t>Attendee: Marcus Yeo | Event: SPM52 Riverside Forum</t>
        </is>
      </c>
      <c r="H49" s="17" t="inlineStr">
        <is>
          <t>1. Click 'My Registrations' in the sidebar
2. Click the 'SPM52 Riverside Forum' row</t>
        </is>
      </c>
      <c r="I49" s="17" t="inlineStr">
        <is>
          <t>Step 2: The event page 'SPM52 Riverside Forum' opens. The 'Your registration' card shows the 'Dietary requirements' and 'Accessibility requirements' fields and a 'Register' button. It shows no 'Registered' badge, no 'You registered on …' line and no 'Withdraw' button.</t>
        </is>
      </c>
      <c r="J49" s="16" t="n"/>
      <c r="K49" s="13" t="n"/>
      <c r="L49" s="7" t="n"/>
    </row>
    <row r="50" ht="138" customHeight="1" s="21">
      <c r="A50" s="17" t="n">
        <v>36</v>
      </c>
      <c r="B50" s="17" t="inlineStr">
        <is>
          <t>SPM-52-TC04</t>
        </is>
      </c>
      <c r="C50" s="17" t="inlineStr">
        <is>
          <t>The organiser and the coordinator see one place freed and one more withdrawal after an attendee withdraws</t>
        </is>
      </c>
      <c r="D50" s="17" t="inlineStr">
        <is>
          <t>AC4, AC5</t>
        </is>
      </c>
      <c r="E50" s="17" t="inlineStr">
        <is>
          <t>Positive</t>
        </is>
      </c>
      <c r="F50" s="17" t="inlineStr">
        <is>
          <t>SPM-52-TC03 has just been run (it follows SPM-52-TC02, in which Marcus Yeo withdrew from 'SPM52 Riverside Forum').
After: run `npm run fixtures:spm52` (never `npx prisma db seed`, which wipes everyone's data).
Nothing is saved in this case.</t>
        </is>
      </c>
      <c r="G50" s="17" t="inlineStr">
        <is>
          <t>Event: SPM52 Riverside Forum (capacity 10; now 3 registered, 2 withdrawn) | Organiser: Evelyn Chen | Coordinator: Daniel Tan</t>
        </is>
      </c>
      <c r="H50" s="17" t="inlineStr">
        <is>
          <t>1. Log out and log in as Evelyn Chen (evelyn.chen@straitsmedic.com / password123), who organised every 'SPM52 …' event
2. Click 'My Events' in the sidebar
3. Click 'SPM52 Riverside Forum' in the list
4. Log out and log in as Daniel Tan (daniel.tan@connectsphere.com / password123), the coordinator assigned to every 'SPM52 …' event
5. Click 'All Events' in the sidebar
6. Click 'SPM52 Riverside Forum' in the list</t>
        </is>
      </c>
      <c r="I50" s="17" t="inlineStr">
        <is>
          <t>Step 3: The Registration card shows 'Places taken' '3 of 10 · 7 left' and 'Withdrawn' '2' (it was '4 of 10 · 6 left' and '1' before Marcus Yeo withdrew).
Step 6: The Registration card shows 'Places taken' '3 of 10 · 7 left' and 'Withdrawn' '2'.</t>
        </is>
      </c>
      <c r="J50" s="16" t="n"/>
      <c r="K50" s="13" t="n"/>
      <c r="L50" s="7" t="n"/>
    </row>
    <row r="51" ht="198" customHeight="1" s="21">
      <c r="A51" s="17" t="n">
        <v>37</v>
      </c>
      <c r="B51" s="17" t="inlineStr">
        <is>
          <t>SPM-52-TC05</t>
        </is>
      </c>
      <c r="C51" s="17" t="inlineStr">
        <is>
          <t>Withdrawing from a full event from its event page frees the place, so another attendee can register</t>
        </is>
      </c>
      <c r="D51" s="17" t="inlineStr">
        <is>
          <t>AC1, AC3, AC4</t>
        </is>
      </c>
      <c r="E51" s="17" t="inlineStr">
        <is>
          <t>Positive</t>
        </is>
      </c>
      <c r="F51" s="17" t="inlineStr">
        <is>
          <t>Before and after: run `npm run fixtures:spm52` (never `npx prisma db seed`, which wipes everyone's data).
Logged in as Marcus Yeo (marcus.yeo@example.com / password123), an Attendee.</t>
        </is>
      </c>
      <c r="G51" s="17" t="inlineStr">
        <is>
          <t>Event: SPM52 Last Place Clinic (capacity 2; Marcus Yeo and Anita Devi registered) | Attendees: Marcus Yeo, Tan Jia Hui</t>
        </is>
      </c>
      <c r="H51" s="17" t="inlineStr">
        <is>
          <t>1. Click 'Browse Events' in the sidebar
2. Click 'SPM52 Last Place Clinic'
3. Click 'Withdraw' in the 'Your registration' card
4. Click 'Withdraw' in the dialog
5. Click 'Browse Events' in the sidebar
6. Log out and log in as Tan Jia Hui (tan.jia.hui@example.com / password123), an Attendee
7. Click 'Browse Events' in the sidebar
8. Click 'SPM52 Last Place Clinic'
9. Click 'Register'</t>
        </is>
      </c>
      <c r="I51" s="17" t="inlineStr">
        <is>
          <t>Step 1: 'SPM52 Last Place Clinic' is listed with the badge 'Full'.
Step 2: The event page opens. The 'Your registration' card shows the badge 'Registered', 'You registered on &lt;date&gt;.' and a 'Withdraw' button.
Step 3: A dialog asks 'Withdraw from SPM52 Last Place Clinic?' with the buttons 'Keep my place' and 'Withdraw'.
Step 4: The dialog closes. The card shows a green 'You have withdrawn from this event.' and now offers the 'Dietary requirements' and 'Accessibility requirements' fields and a 'Register' button.
Step 5: 'SPM52 Last Place Clinic' now has the badge 'Open'.
Step 8: The 'Your registration' card offers a 'Register' button, not 'This event is full.'.
Step 9: A green message says 'You're registered for this event.' and the card shows the badge 'Registered'.</t>
        </is>
      </c>
      <c r="J51" s="16" t="n"/>
      <c r="K51" s="13" t="n"/>
      <c r="L51" s="7" t="n"/>
    </row>
    <row r="52" ht="20" customHeight="1" s="21">
      <c r="A52" s="6" t="inlineStr">
        <is>
          <t>SPM-77  Suggest Alternative Equipment  -  run npm run fixtures:spm77 before its first case</t>
        </is>
      </c>
      <c r="B52" s="16" t="n"/>
      <c r="C52" s="16" t="n"/>
      <c r="D52" s="16" t="n"/>
      <c r="E52" s="16" t="n"/>
      <c r="F52" s="16" t="n"/>
      <c r="G52" s="16" t="n"/>
      <c r="H52" s="16" t="n"/>
      <c r="I52" s="16" t="n"/>
      <c r="J52" s="16" t="n"/>
      <c r="K52" s="16" t="n"/>
      <c r="L52" s="16" t="n"/>
    </row>
    <row r="53" ht="288" customHeight="1" s="21">
      <c r="A53" s="17" t="n">
        <v>38</v>
      </c>
      <c r="B53" s="17" t="inlineStr">
        <is>
          <t>SPM-77-TC01</t>
        </is>
      </c>
      <c r="C53" s="17" t="inlineStr">
        <is>
          <t>Technical Support sees an alternative's availability for the event's dates, cannot record more than is available, and records a suggestion that then shows on the line</t>
        </is>
      </c>
      <c r="D53" s="17" t="inlineStr">
        <is>
          <t>AC1, AC2, AC3</t>
        </is>
      </c>
      <c r="E53" s="17" t="inlineStr">
        <is>
          <t>Positive</t>
        </is>
      </c>
      <c r="F53" s="17" t="inlineStr">
        <is>
          <t>SPM77 Ring Light Showcase (1 Aug 2028) requests 4 Ring Light, marked 'Cannot be provided' (only 2 are in stock). Nothing else holds Podium Light (4 in stock) that day.
Data: run `npm run fixtures:spm77` first. Go straight on to SPM-77-TC02, and run the script again after it.
Logged in as Technical Support Staff (vikram.nair@connectsphere.com, password123).</t>
        </is>
      </c>
      <c r="G53" s="17" t="inlineStr">
        <is>
          <t>Event: SPM77 Ring Light Showcase
Line: Ring Light, 4 requested, Cannot be provided
Alternative: Podium Light (4 in stock), quantity 5 then 3
Note: Three podium lights light the stage as evenly.</t>
        </is>
      </c>
      <c r="H53" s="17" t="inlineStr">
        <is>
          <t>1. Click 'Equipment Requests' in the sidebar
2. Open the equipment request for the SPM77 Ring Light Showcase event
3. On the Ring Light line, click 'Suggest alternative'
4. In 'Alternative item', choose 'Podium Light — Staging'
5. In 'Note for the Coordinator', enter 'Three podium lights light the stage as evenly.'
6. Change 'Quantity' to 5
7. Click 'Record suggestion'
8. Change 'Quantity' to 3
9. Click 'Record suggestion'</t>
        </is>
      </c>
      <c r="I53" s="17" t="inlineStr">
        <is>
          <t>Step 2: The Ring Light line shows Status 'Cannot be provided' with 'Technical Support notes: Only 2 ring lights are in stock.' and a 'Suggest alternative' button.
Step 3: A 'Suggest alternative' form opens on the line with 'Alternative item' (empty, 'Choose an item'), 'Quantity' (4) and 'Note for the Coordinator' (empty). The 'Alternative item' list does not offer Ring Light.
Step 4: '4 available for these dates — enough for this suggestion.' appears under 'Quantity'.
Step 6: The message changes to 'Only 4 available for this event's dates.'
Step 7: Nothing is recorded: the form stays open and the line shows no suggestion.
Step 8: The message changes back to '4 available for these dates — enough for this suggestion.'
Step 9: The form closes. 'Suggestion sent to the Coordinator.' appears on the line, which now reads 'Suggested alternative: 3 × Podium Light — waiting for the Coordinator's decision.', 'Note: Three podium lights light the stage as evenly.' and 'Suggested by Vikram Nair' with today's date and time. 'Suggest alternative' is no longer offered on the line. The line still shows Requested 4 and Status 'Cannot be provided'.</t>
        </is>
      </c>
      <c r="J53" s="16" t="n"/>
      <c r="K53" s="13" t="n"/>
      <c r="L53" s="7" t="n"/>
    </row>
    <row r="54" ht="138" customHeight="1" s="21">
      <c r="A54" s="17" t="n">
        <v>39</v>
      </c>
      <c r="B54" s="17" t="inlineStr">
        <is>
          <t>SPM-77-TC02</t>
        </is>
      </c>
      <c r="C54" s="17" t="inlineStr">
        <is>
          <t>The assigned Coordinator is notified of a suggested alternative and sees it, with its note, on the requirement it is about</t>
        </is>
      </c>
      <c r="D54" s="17" t="inlineStr">
        <is>
          <t>AC3, AC4</t>
        </is>
      </c>
      <c r="E54" s="17" t="inlineStr">
        <is>
          <t>Positive</t>
        </is>
      </c>
      <c r="F54" s="17" t="inlineStr">
        <is>
          <t>SPM-77-TC01 has just been run (3 Podium Light were suggested for the Ring Light line of SPM77 Ring Light Showcase). Daniel Tan is the event's assigned Coordinator.
Data: run `npm run fixtures:spm77` after this case.</t>
        </is>
      </c>
      <c r="G54" s="17" t="inlineStr">
        <is>
          <t>Event: SPM77 Ring Light Showcase
Suggestion: 3 × Podium Light, 'Three podium lights light the stage as evenly.'</t>
        </is>
      </c>
      <c r="H54" s="17" t="inlineStr">
        <is>
          <t>1. Click 'Log out'
2. Log in as the Event Coordinator (daniel.tan@connectsphere.com, password123)
3. Click 'Notifications' in the sidebar
4. Click the 'Alternative equipment suggested' notification</t>
        </is>
      </c>
      <c r="I54" s="17" t="inlineStr">
        <is>
          <t>Step 3: The list shows an unread notification 'Alternative equipment suggested' reading 'Technical Support suggested 3 Podium Light in place of Ring Light for SPM77 Ring Light Showcase. Note: Three podium lights light the stage as evenly.'
Step 4: The Equipment tab of SPM77 Ring Light Showcase opens. The Ring Light row still shows the status 'Cannot be provided' and Quantity 4, and under it 'Suggested alternative: 3 × Podium Light', 'Note: Three podium lights light the stage as evenly.' and 'Suggested by Vikram Nair' with a date and time, with 'Accept' and 'Decline' buttons.</t>
        </is>
      </c>
      <c r="J54" s="16" t="n"/>
      <c r="K54" s="13" t="n"/>
      <c r="L54" s="7" t="n"/>
    </row>
    <row r="55" ht="243" customHeight="1" s="21">
      <c r="A55" s="17" t="n">
        <v>40</v>
      </c>
      <c r="B55" s="17" t="inlineStr">
        <is>
          <t>SPM-77-TC07</t>
        </is>
      </c>
      <c r="C55" s="17" t="inlineStr">
        <is>
          <t>Recording a suggestion for a partly fulfilled item leaves its reservation as it is, and the event's other equipment can still be reserved while the decision is awaited</t>
        </is>
      </c>
      <c r="D55" s="17" t="inlineStr">
        <is>
          <t>AC1, AC7, AC8</t>
        </is>
      </c>
      <c r="E55" s="17" t="inlineStr">
        <is>
          <t>Positive</t>
        </is>
      </c>
      <c r="F55" s="17" t="inlineStr">
        <is>
          <t>SPM77 Keep Reserved Expo (5 Sep 2028) requests 3 Ring Light, 2 of them reserved (Status 'Partially fulfilled'), and 2 Podium Light, not yet reserved (Status 'Requested').
Data: run `npm run fixtures:spm77` before and after this case.
Logged in as Technical Support Staff (vikram.nair@connectsphere.com, password123).</t>
        </is>
      </c>
      <c r="G55" s="17" t="inlineStr">
        <is>
          <t>Event: SPM77 Keep Reserved Expo
Ring Light: 3 requested, 2 reserved
Podium Light: 2 requested
Alternative: 1 × Portable Stage (6 in stock)
Note: One stage riser for the speaker instead.</t>
        </is>
      </c>
      <c r="H55" s="17" t="inlineStr">
        <is>
          <t>1. Click 'Equipment Requests' in the sidebar
2. Open the equipment request for the SPM77 Keep Reserved Expo event
3. On the Ring Light line, click 'Suggest alternative'
4. In 'Alternative item', choose 'Portable Stage — Staging'
5. In 'Note for the Coordinator', enter 'One stage riser for the speaker instead.'
6. Click 'Record suggestion'
7. On the Podium Light line, click 'Reserve'</t>
        </is>
      </c>
      <c r="I55" s="17" t="inlineStr">
        <is>
          <t>Step 2: The Ring Light line shows Requested 3, Reserved 2 and Status 'Partially fulfilled', with a 'Suggest alternative' button. The Podium Light line shows Status 'Requested' with a 'Reserve' button and no 'Suggest alternative' button.
Step 3: The 'Suggest alternative' form opens with 'Quantity' 1 (what the line is still missing). The 'Alternative item' list offers neither Ring Light nor Podium Light.
Step 4: '6 available for these dates — enough for this suggestion.' appears under 'Quantity'.
Step 6: 'Suggestion sent to the Coordinator.' appears on the Ring Light line with 'Suggested alternative: 1 × Portable Stage — waiting for the Coordinator's decision.' The line still shows Requested 3, Reserved 2 and Status 'Partially fulfilled'.
Step 7: 'Reservation saved: 2 reserved.' appears on the Podium Light line, which now shows Reserved 2 and Status 'Reserved'. The Ring Light line still shows its suggestion and Reserved 2.</t>
        </is>
      </c>
      <c r="J55" s="16" t="n"/>
      <c r="K55" s="13" t="n"/>
      <c r="L55" s="7" t="n"/>
    </row>
    <row r="56" ht="273" customHeight="1" s="21">
      <c r="A56" s="17" t="n">
        <v>41</v>
      </c>
      <c r="B56" s="17" t="inlineStr">
        <is>
          <t>SPM-77-TC12</t>
        </is>
      </c>
      <c r="C56" s="17" t="inlineStr">
        <is>
          <t>The Readiness tab shows an item with a suggested alternative waiting for a decision as Outstanding, points to the Equipment tab to decide it, and shows the item as Complete again once it is declined</t>
        </is>
      </c>
      <c r="D56" s="17" t="inlineStr">
        <is>
          <t>AC3, AC5, AC6</t>
        </is>
      </c>
      <c r="E56" s="17" t="inlineStr">
        <is>
          <t>Positive</t>
        </is>
      </c>
      <c r="F56" s="17" t="inlineStr">
        <is>
          <t>READ FIRST: v2 (2026-10-29): A suggestion waiting for a decision now reads '... waiting for the Coordinator's decision' instead of '... waiting for your decision', on the Readiness tab and in the safety-check refusal (review fix: any coordinator can open the Readiness tab, not only the assigned one). Read 'waiting for your decision' in this case as 'waiting for the Coordinator's decision'.
SPM77 Partial Forum (22 Aug 2028) is in Planning and requests 3 Ring Light, 2 of them reserved (Status 'Partially fulfilled'), with a suggestion of 1 × Podium Light waiting for a decision. Daniel Tan is its assigned Coordinator.
Data: run `npm run fixtures:spm77` before and after this case.
Logged in as the Event Coordinator (daniel.tan@connectsphere.com, password123).</t>
        </is>
      </c>
      <c r="G56" s="17" t="inlineStr">
        <is>
          <t>Event: SPM77 Partial Forum
Ring Light: 3 requested, 2 reserved (Partially fulfilled)
Waiting suggestion: 1 × Podium Light</t>
        </is>
      </c>
      <c r="H56" s="17" t="inlineStr">
        <is>
          <t>1. Click 'All Events' in the sidebar
2. Open the SPM77 Partial Forum event
3. Click the 'Readiness' tab
4. On the Ring Light row, click 'Decide on the Equipment tab'
5. On the Ring Light row, click 'Decline'
6. Click the 'Readiness' tab</t>
        </is>
      </c>
      <c r="I56" s="17" t="inlineStr">
        <is>
          <t>Step 3: The Ring Light row is marked 'Outstanding' and reads 'Ring Light for this event has a suggested alternative (Podium Light) waiting for your decision.', with a 'Decide on the Equipment tab' link and no 'Mark as not required' button.
Step 4: The Equipment tab of SPM77 Partial Forum opens. The Ring Light row shows 'Suggested alternative: 1 × Podium Light' with 'Accept' and 'Decline' buttons.
Step 5: 'Suggestion declined. The original requirement is unchanged.' appears, and the Ring Light row no longer shows the suggestion.
Step 6: The Ring Light row is now marked 'Complete', with no 'Decide on the Equipment tab' link.</t>
        </is>
      </c>
      <c r="J56" s="16" t="n"/>
      <c r="K56" s="13" t="n"/>
      <c r="L56" s="7" t="n"/>
    </row>
  </sheetData>
  <conditionalFormatting sqref="J6:J56">
    <cfRule type="cellIs" priority="1" operator="equal" dxfId="0">
      <formula>"Pass"</formula>
    </cfRule>
    <cfRule type="cellIs" priority="2" operator="equal" dxfId="1">
      <formula>"Fail"</formula>
    </cfRule>
    <cfRule type="cellIs" priority="3" operator="equal" dxfId="2">
      <formula>"Changed by design"</formula>
    </cfRule>
    <cfRule type="cellIs" priority="4" operator="equal" dxfId="3">
      <formula>"Blocked"</formula>
    </cfRule>
  </conditionalFormatting>
  <dataValidations count="1">
    <dataValidation sqref="J6:J56" showDropDown="0" showInputMessage="0" showErrorMessage="0" allowBlank="1" type="list">
      <formula1>"Pass,Fail,Changed by design,Blocked"</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L56"/>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5" customWidth="1" style="21" min="1" max="1"/>
    <col width="15" customWidth="1" style="21" min="2" max="2"/>
    <col width="34" customWidth="1" style="21" min="3" max="3"/>
    <col width="10" customWidth="1" style="21" min="4" max="5"/>
    <col width="13" customWidth="1" style="21" min="5" max="5"/>
    <col width="46" customWidth="1" style="21" min="6" max="6"/>
    <col width="30" customWidth="1" style="21" min="7" max="7"/>
    <col width="58" customWidth="1" style="21" min="8" max="8"/>
    <col width="72" customWidth="1" style="21" min="9" max="9"/>
    <col width="18" customWidth="1" style="21" min="10" max="10"/>
    <col width="12" customWidth="1" style="21" min="11" max="11"/>
    <col width="34" customWidth="1" style="21" min="12" max="12"/>
    <col width="8.710000000000001" customWidth="1" style="21" min="13" max="26"/>
  </cols>
  <sheetData>
    <row r="1">
      <c r="A1" s="1" t="inlineStr">
        <is>
          <t>Sammi's cases: Venue booking requests, registration setup and attendee lists</t>
        </is>
      </c>
    </row>
    <row r="2">
      <c r="A2" s="2" t="inlineStr">
        <is>
          <t>Run top to bottom. A blue row starts each story: run its fixture script first (never npx prisma db seed). READ FIRST at the top of Preconditions says what has changed since the case was written. IDs ending in -R were rewritten in the Sprint 3 run and are reused here. Fill in the yellow Result, Date tested and Notes cells.</t>
        </is>
      </c>
    </row>
    <row r="4">
      <c r="A4" s="3" t="inlineStr">
        <is>
          <t>#</t>
        </is>
      </c>
      <c r="B4" s="3" t="inlineStr">
        <is>
          <t>Test case ID</t>
        </is>
      </c>
      <c r="C4" s="3" t="inlineStr">
        <is>
          <t>Title</t>
        </is>
      </c>
      <c r="D4" s="3" t="inlineStr">
        <is>
          <t>Linked AC</t>
        </is>
      </c>
      <c r="E4" s="3" t="inlineStr">
        <is>
          <t>Type</t>
        </is>
      </c>
      <c r="F4" s="3" t="inlineStr">
        <is>
          <t>Preconditions</t>
        </is>
      </c>
      <c r="G4" s="3" t="inlineStr">
        <is>
          <t>Test data</t>
        </is>
      </c>
      <c r="H4" s="3" t="inlineStr">
        <is>
          <t>Steps</t>
        </is>
      </c>
      <c r="I4" s="3" t="inlineStr">
        <is>
          <t>Expected results</t>
        </is>
      </c>
      <c r="J4" s="3" t="inlineStr">
        <is>
          <t>Result</t>
        </is>
      </c>
      <c r="K4" s="3" t="inlineStr">
        <is>
          <t>Date tested</t>
        </is>
      </c>
      <c r="L4" s="3" t="inlineStr">
        <is>
          <t>Notes / bug key</t>
        </is>
      </c>
    </row>
    <row r="5" ht="20" customHeight="1" s="21">
      <c r="A5" s="6" t="inlineStr">
        <is>
          <t>SPM-42  Request Venue Booking  -  run npm run fixtures:spm42 before its first case</t>
        </is>
      </c>
      <c r="B5" s="16" t="n"/>
      <c r="C5" s="16" t="n"/>
      <c r="D5" s="16" t="n"/>
      <c r="E5" s="16" t="n"/>
      <c r="F5" s="16" t="n"/>
      <c r="G5" s="16" t="n"/>
      <c r="H5" s="16" t="n"/>
      <c r="I5" s="16" t="n"/>
      <c r="J5" s="16" t="n"/>
      <c r="K5" s="16" t="n"/>
      <c r="L5" s="16" t="n"/>
    </row>
    <row r="6" ht="213" customHeight="1" s="21">
      <c r="A6" s="17" t="n">
        <v>1</v>
      </c>
      <c r="B6" s="17" t="inlineStr">
        <is>
          <t>SPM-42-TC01-R</t>
        </is>
      </c>
      <c r="C6" s="17" t="inlineStr">
        <is>
          <t>Coordinator requests a suitable venue, with venue requirements and layout</t>
        </is>
      </c>
      <c r="D6" s="17" t="inlineStr">
        <is>
          <t>AC1, AC6</t>
        </is>
      </c>
      <c r="E6" s="17" t="inlineStr">
        <is>
          <t>Positive</t>
        </is>
      </c>
      <c r="F6" s="17" t="inlineStr">
        <is>
          <t>Rewritten: the story's SPM-42-TC01 is out of date (SPM-93, SPM-90).
Run npm run fixtures:spm42 once at the start of this story's cases (do not re-run it between SPM-42 cases). 'SPM42 Research Symposium' is in Planning, assigned to Daniel Tan, 4 Mar 2027, 09:00-18:00, 200 people, Theatre. Marina Auditorium (MAR-AUD) seats 220 in Theatre, opens 08:00-22:00, setup 60 min, turnaround 30 min. Logged out.</t>
        </is>
      </c>
      <c r="G6" s="17" t="inlineStr">
        <is>
          <t>Event: SPM42 Research Symposium | Venue: Marina Auditorium (MAR-AUD) | 4 Mar 2027, 09:00-18:00
Venue requirements: Lectern and stage riser at the front; two wireless microphones; doors open 08:30.</t>
        </is>
      </c>
      <c r="H6" s="17" t="inlineStr">
        <is>
          <t>1. Log in as daniel.tan@connectsphere.com / password123
2. Click 'All Events' in the sidebar and open 'SPM42 Research Symposium'
3. Click the 'Venue' tab
4. Click 'Request booking' on 'Marina Auditorium (MAR-AUD)'
5. Type in 'Venue requirements': Lectern and stage riser at the front; two wireless microphones; doors open 08:30.
6. Click 'Submit request'
7. Log out, then log in as marcus.wong@connectsphere.com / password123
8. Click 'Booking Requests' in the sidebar and find the 'Marina Auditorium (MAR-AUD)' card for SPM42 Research Symposium (use Ctrl+F)</t>
        </is>
      </c>
      <c r="I6" s="17" t="inlineStr">
        <is>
          <t>Step 3: 'Marina Auditorium (MAR-AUD)' is listed as 'Suitable' with a 'Request booking' button.
Step 4: The 'Request a venue booking' page shows Event 'SPM42 Research Symposium' and Venue 'Marina Auditorium (MAR-AUD)'. It is filled in with 'What is this space for?' Main programme, Expected attendance 200, Room layout Theatre, Date 4 Mar 2027, Start time 09:00 and End time 18:00, and reads 'Setup: 08:00–09:00 (60 min)', 'Turnaround: 18:00–18:30 (30 min)' and 'Room in use: 08:00–18:30'. There are no AM, PM or Night boxes.
Step 6: A green alert 'Booking request sent to Venue Staff.' reads 'It is Pending until Venue Staff review it.'
Step 8: The card has the badge 'Pending', Requested '4 Mar 2027, 09:00–18:00' with the same setup, turnaround and room-in-use lines, Space 'Main programme', Layout 'Theatre', Expected attendance '200', Venue requirements exactly as typed, and Requested by 'Daniel Tan' with 'Event is Planning'.</t>
        </is>
      </c>
      <c r="J6" s="7" t="n"/>
      <c r="K6" s="18" t="n"/>
      <c r="L6" s="7" t="n"/>
    </row>
    <row r="7" ht="363" customHeight="1" s="21">
      <c r="A7" s="17" t="n">
        <v>2</v>
      </c>
      <c r="B7" s="17" t="inlineStr">
        <is>
          <t>SPM-42-TC09-R</t>
        </is>
      </c>
      <c r="C7" s="17" t="inlineStr">
        <is>
          <t>A 3-session event gets one request per session, each using its session's date, time and layout</t>
        </is>
      </c>
      <c r="D7" s="17" t="inlineStr">
        <is>
          <t>AC4, AC5</t>
        </is>
      </c>
      <c r="E7" s="17" t="inlineStr">
        <is>
          <t>Positive</t>
        </is>
      </c>
      <c r="F7" s="17" t="inlineStr">
        <is>
          <t>Rewritten: the story's SPM-42-TC09 is out of date (SPM-93, SPM-54, SPM-90).
Run npm run fixtures:spm42 before this case. 'SPM42 Three-Session Forum' is Approved, assigned to Daniel Tan. Sessions: 'Day 1' 1 Mar 2027 09:00-12:00, 80 people, Theatre; 'Day 2' 2 Mar 2027 14:00-17:00, 30 people, Classroom; 'Day 3' 3 Mar 2027 19:00-22:00, 60 people, Banquet. Logged in as Daniel Tan. Run npm run fixtures:spm42 after this case.</t>
        </is>
      </c>
      <c r="G7" s="17" t="inlineStr">
        <is>
          <t>Day 1: Orchard Seminar Room (ORC-SEM) | Day 2: Orchard Studio (ORC-STU) | Day 3: Orchard Gallery (ORC-GAL), open 09:00-23:00, setup 120 min, turnaround 90 min</t>
        </is>
      </c>
      <c r="H7" s="17" t="inlineStr">
        <is>
          <t>1. Click 'All Events' in the sidebar and open 'SPM42 Three-Session Forum'
2. Click the 'Venue' tab
3. In the 'Session' drop-down, choose 'Day 1'
4. Click 'Request booking' on 'Orchard Seminar Room (ORC-SEM)'
5. Click 'Submit request'
6. Click 'Continue' in the dialog
7. Click 'Back to Venue'
8. In the 'Session' drop-down, choose 'Day 2'
9. Click 'Request booking' on 'Orchard Studio (ORC-STU)'
10. Click 'Submit request'
11. Click 'Back to Venue'
12. In the 'Session' drop-down, choose 'Day 3'
13. Click 'Request booking' on 'Orchard Gallery (ORC-GAL)'
14. Click 'Submit request'
15. Click 'Cancel'</t>
        </is>
      </c>
      <c r="I7" s="17" t="inlineStr">
        <is>
          <t>Step 4: The form shows Session 'Day 1 — 1 Mar 2027, 09:00–12:00', Date 1 Mar 2027, 09:00 to 12:00, Expected attendance 80, Room layout Theatre, 'Room in use: 08:00–12:30'.
Step 5: A dialog 'Begin planning?' says the event will move from Approved to Planning.
Step 6: 'Booking request sent to Venue Staff.' and 'Planning has started' are shown.
Step 9: The form shows Session 'Day 2 — 2 Mar 2027, 14:00–17:00', Date 2 Mar 2027, 14:00 to 17:00, Expected attendance 30, Room layout Classroom, 'Setup: 13:30–14:00 (30 min)', 'Turnaround: 17:00–17:30 (30 min)'.
Step 10: 'Booking request sent to Venue Staff.' is shown.
Step 13: The form shows Session 'Day 3 — 3 Mar 2027, 19:00–22:00', Date 3 Mar 2027, 19:00 to 22:00, Expected attendance 60, Room layout Banquet, 'Setup: 17:00–19:00 (120 min)', 'Turnaround: 22:00–23:30 (90 min)', 'Room in use: 17:00–23:30'.
Step 14: The request is refused with 'Orchard Gallery is open 09:00–23:00. With its 120 min setup and 90 min turnaround, choose times between 11:00 and 21:30.' Nothing is sent.
Step 15: The 'Booking requests' card lists two requests, each with its session and the session's own layout: 'Orchard Seminar Room (ORC-SEM)' with 'Main programme · Day 1 · 1 Mar 2027, 09:00–12:00 · Theatre · 80 attendees' and 'Orchard Studio (ORC-STU)' with 'Main programme · Day 2 · 2 Mar 2027, 14:00–17:00 · Classroom · 30 attendees', both 'Pending'. There is no request for Day 3.</t>
        </is>
      </c>
      <c r="J7" s="7" t="n"/>
      <c r="K7" s="18" t="n"/>
      <c r="L7" s="7" t="n"/>
    </row>
    <row r="8" ht="153" customHeight="1" s="21">
      <c r="A8" s="17" t="n">
        <v>3</v>
      </c>
      <c r="B8" s="17" t="inlineStr">
        <is>
          <t>SPM-42-TC11-R</t>
        </is>
      </c>
      <c r="C8" s="17" t="inlineStr">
        <is>
          <t>The request reaches Venue Staff and shows Pending</t>
        </is>
      </c>
      <c r="D8" s="17" t="inlineStr">
        <is>
          <t>AC7, AC8</t>
        </is>
      </c>
      <c r="E8" s="17" t="inlineStr">
        <is>
          <t>Positive</t>
        </is>
      </c>
      <c r="F8" s="17" t="inlineStr">
        <is>
          <t>Rewritten: the story's SPM-42-TC11 is out of date (SPM-93, SPM-82, SPM-90).
Run straight after SPM-42-TC04-R - do not reset the fixtures in between.
SPM-42-TC04 has just been run ('SPM42 Town Hall' has a Pending request for Orchard Seminar Room) and the fixtures have NOT been reset since. Logged in as Daniel Tan.</t>
        </is>
      </c>
      <c r="G8" s="17" t="inlineStr">
        <is>
          <t>Request: SPM42 Town Hall, Orchard Seminar Room (ORC-SEM), 6 Mar 2027, 09:00-17:00</t>
        </is>
      </c>
      <c r="H8" s="17" t="inlineStr">
        <is>
          <t>1. Click 'All Events' in the sidebar, open 'SPM42 Town Hall' and click the 'Venue' tab
2. Log out, then log in as marcus.wong@connectsphere.com / password123
3. Click 'Booking Requests' in the sidebar and find the card for SPM42 Town Hall (use Ctrl+F)</t>
        </is>
      </c>
      <c r="I8" s="17" t="inlineStr">
        <is>
          <t>Step 1: Under 'Booking requests', Orchard Seminar Room (ORC-SEM) has the badge 'Pending'.
Step 3: The card is headed 'Orchard Seminar Room (ORC-SEM)', 'for &lt;reference&gt; SPM42 Town Hall · Meridian Financial Group', badge 'Pending'. Requested '6 Mar 2027, 09:00–17:00' with 'Setup: 08:00–09:00 (60 min)', 'Turnaround: 17:00–17:30 (30 min)' and 'Room in use: 08:00–17:30'; Hold expires: the date and time 7 days after SPM-42-TC04 sent it, with 'Change expiry'; Event time '6 Mar 2027, 09:00–17:00'; Space 'Main programme'; Layout 'Theatre'; Expected attendance '100'; Venue requirements 'None given'; Requested by 'Daniel Tan', 'Event is Planning'.</t>
        </is>
      </c>
      <c r="J8" s="7" t="n"/>
      <c r="K8" s="18" t="n"/>
      <c r="L8" s="7" t="n"/>
    </row>
    <row r="9" ht="20" customHeight="1" s="21">
      <c r="A9" s="6" t="inlineStr">
        <is>
          <t>SPM-43  Review Venue Booking Request  -  run npm run fixtures:spm43 before its first case</t>
        </is>
      </c>
      <c r="B9" s="16" t="n"/>
      <c r="C9" s="16" t="n"/>
      <c r="D9" s="16" t="n"/>
      <c r="E9" s="16" t="n"/>
      <c r="F9" s="16" t="n"/>
      <c r="G9" s="16" t="n"/>
      <c r="H9" s="16" t="n"/>
      <c r="I9" s="16" t="n"/>
      <c r="J9" s="16" t="n"/>
      <c r="K9" s="16" t="n"/>
      <c r="L9" s="16" t="n"/>
    </row>
    <row r="10" ht="183" customHeight="1" s="21">
      <c r="A10" s="17" t="n">
        <v>4</v>
      </c>
      <c r="B10" s="17" t="inlineStr">
        <is>
          <t>SPM-43-TC01-R</t>
        </is>
      </c>
      <c r="C10" s="17" t="inlineStr">
        <is>
          <t>Venue Staff see the pending requests, each with its venue, date, slots and event details</t>
        </is>
      </c>
      <c r="D10" s="17" t="inlineStr">
        <is>
          <t>AC1, AC2</t>
        </is>
      </c>
      <c r="E10" s="17" t="inlineStr">
        <is>
          <t>Positive</t>
        </is>
      </c>
      <c r="F10" s="17" t="inlineStr">
        <is>
          <t>Rewritten: the story's SPM-43-TC01 is out of date (SPM-93, SPM-82, SPM-90).
Run npm run fixtures:spm43 once before this story's cases. 'SPM43 Leadership Offsite' (Planning, Meridian Financial Group, Daniel Tan, 100 people, Theatre, 4 May 2027 09:00-17:00) has a Pending request for Orchard Seminar Room (ORC-SEM) for 4 May 2027, 07:00-18:00. 'SPM43 Board Strategy Day' has an Approved booking at Marina Auditorium. Logged out.</t>
        </is>
      </c>
      <c r="G10" s="17" t="inlineStr">
        <is>
          <t>Request: SPM43 Leadership Offsite at Orchard Seminar Room (ORC-SEM), 4 May 2027, 07:00-18:00 | Venue requirements: Lectern and two handheld microphones.</t>
        </is>
      </c>
      <c r="H10" s="17" t="inlineStr">
        <is>
          <t>1. Log in as marcus.wong@connectsphere.com / password123
2. Click 'Booking Requests' in the sidebar
3. Find the card for 'SPM43 Leadership Offsite' (use Ctrl+F)
4. Search the page (Ctrl+F) for a card headed 'for &lt;reference&gt; SPM43 Board Strategy Day'</t>
        </is>
      </c>
      <c r="I10" s="17" t="inlineStr">
        <is>
          <t>Step 2: The 'Booking Requests' page opens with one card per pending request.
Step 3: The card is headed 'Orchard Seminar Room (ORC-SEM)', 'for &lt;reference&gt; SPM43 Leadership Offsite · Meridian Financial Group', badge 'Pending'. Requested '4 May 2027, 07:00–18:00' with 'Setup: 06:00–07:00 (60 min)', 'Turnaround: 18:00–18:30 (30 min)' and 'Room in use: 06:00–18:30'; Hold expires 'No expiry set' with 'Change expiry'; Event time '4 May 2027, 09:00–17:00'; Space 'Not recorded'; Layout 'Theatre'; Expected attendance '100'; Venue requirements 'Lectern and two handheld microphones.'; Requested by 'Daniel Tan', 'Event is Planning'; buttons 'Approve' and 'Reject with a reason'.
Step 4: There is no card for SPM43 Board Strategy Day: its booking is already approved. (It may be named inside another card's clash warning.)</t>
        </is>
      </c>
      <c r="J10" s="7" t="n"/>
      <c r="K10" s="18" t="n"/>
      <c r="L10" s="7" t="n"/>
    </row>
    <row r="11" ht="288" customHeight="1" s="21">
      <c r="A11" s="17" t="n">
        <v>5</v>
      </c>
      <c r="B11" s="17" t="inlineStr">
        <is>
          <t>SPM-43-TC03-R</t>
        </is>
      </c>
      <c r="C11" s="17" t="inlineStr">
        <is>
          <t>Approving a request books the room: it leaves the list, the calendar shows it Booked, and the Coordinator sees it Approved</t>
        </is>
      </c>
      <c r="D11" s="17" t="inlineStr">
        <is>
          <t>AC3, AC7</t>
        </is>
      </c>
      <c r="E11" s="17" t="inlineStr">
        <is>
          <t>Positive</t>
        </is>
      </c>
      <c r="F11" s="17" t="inlineStr">
        <is>
          <t>Rewritten: the story's SPM-43-TC03 is out of date (SPM-93).
SPM-43 fixtures loaded, with 'SPM43 Leadership Offsite' still Pending at Orchard Seminar Room (run npm run fixtures:spm43 if not). Logged in as Marcus Wong. This case changes data: run npm run fixtures:spm43 when you finish this story's cases.</t>
        </is>
      </c>
      <c r="G11" s="17" t="inlineStr">
        <is>
          <t>Request: SPM43 Leadership Offsite at Orchard Seminar Room (ORC-SEM), 4 May 2027, 07:00-18:00 | Calendar: 3-5 May 2027</t>
        </is>
      </c>
      <c r="H11" s="17" t="inlineStr">
        <is>
          <t>1. Click 'Booking Requests' in the sidebar
2. On the 'SPM43 Leadership Offsite' card, click 'Approve'
3. Click 'Approve' in the dialog
4. Click 'Venues' in the sidebar, then 'View availability' on the 'Orchard Seminar Room' row
5. Set 'From' to 3 May 2027 and 'To' to 5 May 2027, then click 'Show availability'
6. Log out, then log in as daniel.tan@connectsphere.com / password123
7. Click 'All Events' in the sidebar and open 'SPM43 Leadership Offsite'
8. Click the 'Venue' tab</t>
        </is>
      </c>
      <c r="I11" s="17" t="inlineStr">
        <is>
          <t>Step 2: A dialog 'Approve this booking?' reads 'This books Orchard Seminar Room (ORC-SEM) for &lt;reference&gt; SPM43 Leadership Offsite on 4 May 2027, 07:00–18:00. No other event can then be booked into the room from 06:00 to 18:30, which includes its setup and turnaround time.'
Step 3: A green 'Booking approved' message reads 'Orchard Seminar Room (ORC-SEM) for &lt;reference&gt; SPM43 Leadership Offsite on 4 May 2027, 07:00–18:00 is now Approved — the room is booked.' The card is no longer in the list.
Step 5: The subtitle reads '3 May 2027 – 5 May 2027 · open 08:00–22:00 · setup 60 min, turnaround 30 min'. The grid has the columns 'Day' and 'Schedule'. 3 May and 5 May show 'Free'. 4 May lists 'Setup 06:00–07:00 · SPM43 Leadership Offsite', 'Booked 07:00–18:00 · SPM43 Leadership Offsite' and 'Turnaround 18:00–18:30 · SPM43 Leadership Offsite'. Under 'Approved bookings': SPM43 Leadership Offsite, 'Planning', '4 May 2027, 07:00–18:00', 'Room in use 06:00–18:30', 'Layout: Theatre'.
Step 7: The event's status badge still reads 'Planning': approving a booking does not confirm the event.
Step 8: Under 'Booking requests', Orchard Seminar Room (ORC-SEM) shows '4 May 2027, 07:00–18:00 · Theatre' with the badge 'Approved' and a 'Release booking' button.</t>
        </is>
      </c>
      <c r="J11" s="7" t="n"/>
      <c r="K11" s="18" t="n"/>
      <c r="L11" s="7" t="n"/>
    </row>
    <row r="12" ht="168" customHeight="1" s="21">
      <c r="A12" s="17" t="n">
        <v>6</v>
      </c>
      <c r="B12" s="17" t="inlineStr">
        <is>
          <t>SPM-43-TC08-R</t>
        </is>
      </c>
      <c r="C12" s="17" t="inlineStr">
        <is>
          <t>Rejecting with a reason takes the request off the list and shows the Coordinator the reason</t>
        </is>
      </c>
      <c r="D12" s="17" t="inlineStr">
        <is>
          <t>AC4, AC5</t>
        </is>
      </c>
      <c r="E12" s="17" t="inlineStr">
        <is>
          <t>Positive</t>
        </is>
      </c>
      <c r="F12" s="17" t="inlineStr">
        <is>
          <t>Rewritten: the story's SPM-43-TC08 is out of date (SPM-93).
SPM-43 fixtures loaded; 'SPM43 Product Briefing' has a Pending request for Marina Auditorium (MAR-AUD), 5 May 2027, 13:00-18:00. Logged in as Marcus Wong. This case changes data: run npm run fixtures:spm43 when you finish this story's cases.</t>
        </is>
      </c>
      <c r="G12" s="17" t="inlineStr">
        <is>
          <t>Reason for rejection: Auditorium is closed for stage repairs that week. | Suggest another venue: No venue suggested</t>
        </is>
      </c>
      <c r="H12" s="17" t="inlineStr">
        <is>
          <t>1. Click 'Booking Requests' in the sidebar
2. On the 'SPM43 Product Briefing' card, click 'Reject with a reason'
3. Type the reason in 'Reason for rejection'
4. Leave 'Suggest another venue' on 'No venue suggested' and click 'Reject request'
5. Log out, then log in as daniel.tan@connectsphere.com / password123
6. Click 'All Events' in the sidebar and open 'SPM43 Product Briefing'
7. Click the 'Venue' tab</t>
        </is>
      </c>
      <c r="I12" s="17" t="inlineStr">
        <is>
          <t>Step 4: A green 'Booking request rejected' message reads 'Marina Auditorium (MAR-AUD) for &lt;reference&gt; SPM43 Product Briefing on 5 May 2027, 13:00–18:00 is now Rejected. The Coordinator can see your reason on the event's Venue tab.' The card is no longer in the list.
Step 7: Under 'Booking requests', Marina Auditorium (MAR-AUD) shows '5 May 2027, 13:00–18:00 · Theatre', the badge 'Rejected' and 'Reason from Venue Staff: Auditorium is closed for stage repairs that week.' There is no 'Suggested alternative' line and no 'Request this venue' button.</t>
        </is>
      </c>
      <c r="J12" s="7" t="n"/>
      <c r="K12" s="18" t="n"/>
      <c r="L12" s="7" t="n"/>
    </row>
    <row r="13" ht="243" customHeight="1" s="21">
      <c r="A13" s="17" t="n">
        <v>7</v>
      </c>
      <c r="B13" s="17" t="inlineStr">
        <is>
          <t>SPM-43-TC09-R</t>
        </is>
      </c>
      <c r="C13" s="17" t="inlineStr">
        <is>
          <t>Venue Staff suggest another venue when rejecting; the Coordinator sees it and can start a new request for that venue</t>
        </is>
      </c>
      <c r="D13" s="17" t="inlineStr">
        <is>
          <t>AC6</t>
        </is>
      </c>
      <c r="E13" s="17" t="inlineStr">
        <is>
          <t>Positive</t>
        </is>
      </c>
      <c r="F13" s="17" t="inlineStr">
        <is>
          <t>Rewritten: the story's SPM-43-TC09 is out of date (SPM-93).
SPM-43 fixtures loaded; 'SPM43 Awards Dinner' (80 people, Banquet, 6 May 2027 19:00-22:00) has a Pending request for Orchard Gallery (ORC-GAL), 6 May 2027 19:00 to 7 May 2027 00:00. Logged in as Marcus Wong. This case changes data: run npm run fixtures:spm43 when you finish this story's cases.</t>
        </is>
      </c>
      <c r="G13" s="17" t="inlineStr">
        <is>
          <t>Reason for rejection: Gallery is closed for a private hire that evening. | Suggest another venue: Marina Grand Hall (MAR-GH)</t>
        </is>
      </c>
      <c r="H13" s="17" t="inlineStr">
        <is>
          <t>1. Click 'Booking Requests' in the sidebar
2. On the 'SPM43 Awards Dinner' card, click 'Reject with a reason'
3. Type the reason in 'Reason for rejection'
4. Open the 'Suggest another venue' list
5. Choose 'Marina Grand Hall (MAR-GH)' and click 'Reject request'
6. Log out, then log in as daniel.tan@connectsphere.com / password123
7. Click 'All Events' in the sidebar, open 'SPM43 Awards Dinner' and click the 'Venue' tab
8. Click 'Request this venue'</t>
        </is>
      </c>
      <c r="I13" s="17" t="inlineStr">
        <is>
          <t>Step 4: The list starts with 'No venue suggested' and offers the other venues, but not 'Orchard Gallery (ORC-GAL)'.
Step 5: A green 'Booking request rejected' message names Orchard Gallery (ORC-GAL), SPM43 Awards Dinner and '6 May 2027, 19:00 – 7 May 2027, 00:00', and says 'The Coordinator can see your reason and suggestion on the event's Venue tab.' The card leaves the list.
Step 7: Under 'Booking requests' there is one request: Orchard Gallery (ORC-GAL), '6 May 2027, 19:00 – 7 May 2027, 00:00 · Banquet', badge 'Rejected', 'Reason from Venue Staff: Gallery is closed for a private hire that evening.', 'Suggested alternative: Marina Grand Hall (MAR-GH)' and a 'Request this venue' button.
Step 8: The 'Request a venue booking' page opens for Venue 'Marina Grand Hall (MAR-GH)', filled in with Date 6 May 2027, Start time 19:00, End time 22:00, Expected attendance 80 and Room layout Banquet, reading 'Setup: 16:00–19:00 (180 min)', 'Turnaround: 22:00–24:00 (120 min)', 'Room in use: 16:00–24:00'. Nothing is sent until 'Submit request' is clicked.</t>
        </is>
      </c>
      <c r="J13" s="7" t="n"/>
      <c r="K13" s="18" t="n"/>
      <c r="L13" s="7" t="n"/>
    </row>
    <row r="14" ht="20" customHeight="1" s="21">
      <c r="A14" s="6" t="inlineStr">
        <is>
          <t>SPM-44  Detect Venue Booking Conflicts  -  run npm run fixtures:spm44 before its first case</t>
        </is>
      </c>
      <c r="B14" s="16" t="n"/>
      <c r="C14" s="16" t="n"/>
      <c r="D14" s="16" t="n"/>
      <c r="E14" s="16" t="n"/>
      <c r="F14" s="16" t="n"/>
      <c r="G14" s="16" t="n"/>
      <c r="H14" s="16" t="n"/>
      <c r="I14" s="16" t="n"/>
      <c r="J14" s="16" t="n"/>
      <c r="K14" s="16" t="n"/>
      <c r="L14" s="16" t="n"/>
    </row>
    <row r="15" ht="123" customHeight="1" s="21">
      <c r="A15" s="17" t="n">
        <v>8</v>
      </c>
      <c r="B15" s="17" t="inlineStr">
        <is>
          <t>SPM-44-TC05-R</t>
        </is>
      </c>
      <c r="C15" s="17" t="inlineStr">
        <is>
          <t>A rejected booking does not hold the slot</t>
        </is>
      </c>
      <c r="D15" s="17" t="inlineStr">
        <is>
          <t>AC7, AC10</t>
        </is>
      </c>
      <c r="E15" s="17" t="inlineStr">
        <is>
          <t>Positive</t>
        </is>
      </c>
      <c r="F15" s="17" t="inlineStr">
        <is>
          <t>Rewritten: the story's SPM-44-TC05 is out of date (SPM-93).
Run npm run fixtures:spm44 before and after this case. 'SPM44 Rejected Holder' has a Rejected booking at SPM44 Conflict Room on 7 Apr 2027, 14:00-16:00. 'SPM44 After Rejected' runs 7 Apr 2027, 14:00-16:00 - the same room and times. Logged in as Daniel Tan.</t>
        </is>
      </c>
      <c r="G15" s="17" t="inlineStr">
        <is>
          <t>Event: SPM44 After Rejected (7 Apr 2027, 14:00-16:00) | Venue: SPM44 Conflict Room (SPM44-PLN) | In the way: nothing - the other booking was rejected</t>
        </is>
      </c>
      <c r="H15" s="17" t="inlineStr">
        <is>
          <t>1. Click 'All Events' in the sidebar and open 'SPM44 After Rejected'
2. Click the 'Venue' tab
3. Click 'Request booking' on 'SPM44 Conflict Room (SPM44-PLN)'
4. Click 'Submit request'
5. Click 'Back to Venue'</t>
        </is>
      </c>
      <c r="I15" s="17" t="inlineStr">
        <is>
          <t>Step 3: The form is filled in with Date 7 Apr 2027, Start time 14:00, End time 16:00, and reads 'No setup or turnaround needed at this venue.' and 'Room in use: 14:00–16:00'.
Step 4: 'Booking request sent to Venue Staff.' is shown: a rejected booking holds nothing.
Step 5: The request is listed with 'Main programme · 7 Apr 2027, 14:00–16:00 · Classroom · 30 attendees', 'Hold expires Hold expires' followed by the date and time 7 days after the request was sent, and the badge 'Pending'.</t>
        </is>
      </c>
      <c r="J15" s="7" t="n"/>
      <c r="K15" s="18" t="n"/>
      <c r="L15" s="7" t="n"/>
    </row>
    <row r="16" ht="20" customHeight="1" s="21">
      <c r="A16" s="6" t="inlineStr">
        <is>
          <t>SPM-67  Withdraw or Release Venue Booking  -  run npm run fixtures:spm67 before its first case</t>
        </is>
      </c>
      <c r="B16" s="16" t="n"/>
      <c r="C16" s="16" t="n"/>
      <c r="D16" s="16" t="n"/>
      <c r="E16" s="16" t="n"/>
      <c r="F16" s="16" t="n"/>
      <c r="G16" s="16" t="n"/>
      <c r="H16" s="16" t="n"/>
      <c r="I16" s="16" t="n"/>
      <c r="J16" s="16" t="n"/>
      <c r="K16" s="16" t="n"/>
      <c r="L16" s="16" t="n"/>
    </row>
    <row r="17" ht="273" customHeight="1" s="21">
      <c r="A17" s="17" t="n">
        <v>9</v>
      </c>
      <c r="B17" s="17" t="inlineStr">
        <is>
          <t>SPM-67-TC01</t>
        </is>
      </c>
      <c r="C17" s="17" t="inlineStr">
        <is>
          <t>The assigned Coordinator withdraws one pending venue request with a reason, and the event's other pending request and approved booking are unchanged</t>
        </is>
      </c>
      <c r="D17" s="17" t="inlineStr">
        <is>
          <t>AC1, AC5, AC6</t>
        </is>
      </c>
      <c r="E17" s="17" t="inlineStr">
        <is>
          <t>Positive</t>
        </is>
      </c>
      <c r="F17" s="17" t="inlineStr">
        <is>
          <t>Run `npm run fixtures:spm67` before this case. Do not run it again afterwards: go straight on to SPM-67-TC02, and reset after that one.
'SPM67 Pending Pair' (2 Nov 2027, 09:00–12:00) has three venue bookings: SPM67 Hall, Pending; SPM67 Studio, Pending; SPM67 Annex, Approved.
Logged out.</t>
        </is>
      </c>
      <c r="G17" s="17" t="inlineStr">
        <is>
          <t>Event: SPM67 Pending Pair | When: 2 Nov 2027, 09:00–12:00
Bookings: SPM67 Hall (SPM67-HAL), Pending | SPM67 Studio (SPM67-STU), Pending | SPM67 Annex (SPM67-ANX), Approved
Reason: The client has cut the guest list, so the main hall is no longer needed.</t>
        </is>
      </c>
      <c r="H17" s="17" t="inlineStr">
        <is>
          <t>1. Log in as daniel.tan@connectsphere.com / password123
2. Click 'All Events' in the sidebar and open 'SPM67 Pending Pair'
3. Click the 'Venue' tab
4. Click 'Withdraw request' on the 'SPM67 Hall (SPM67-HAL)' row of the 'Booking requests' card
5. Type the reason in 'Reason (optional)'
6. Click 'Withdraw request' in the dialog
7. Click the 'Overview' tab</t>
        </is>
      </c>
      <c r="I17" s="17" t="inlineStr">
        <is>
          <t>Step 2: On the Overview, the 'Venue' row reads 'SPM67 Annex (SPM67-ANX)'.
Step 3: The 'Booking requests' card lists three requests, each '2 Nov 2027, 09:00–12:00 · Theatre': 'SPM67 Hall (SPM67-HAL)' and 'SPM67 Studio (SPM67-STU)' with the 'Pending' badge and a 'Withdraw request' button, and 'SPM67 Annex (SPM67-ANX)' with the 'Approved' badge and a 'Release booking' button.
Step 4: A dialog 'Withdraw this request?' reads 'SPM67 Hall (SPM67-HAL) on 2 Nov 2027, 09:00–12:00 will no longer be requested, and Venue Staff will no longer see it on their Booking Requests list.' It has an empty 'Reason (optional)' box and the buttons 'Withdraw request' and 'Keep request'.
Step 6: The dialog closes. A green alert 'Request withdrawn' reads 'SPM67 Hall (SPM67-HAL) on 2 Nov 2027, 09:00–12:00 is now Withdrawn. You can request another venue below.' The Hall row is still listed, now with a grey 'Withdrawn' badge, no button, and the line 'Reason for withdrawal: The client has cut the guest list, so the main hall is no longer needed.' 'SPM67 Studio (SPM67-STU)' still has '2 Nov 2027, 09:00–12:00 · Theatre', 'Pending' and 'Withdraw request'; 'SPM67 Annex (SPM67-ANX)' still has '2 Nov 2027, 09:00–12:00 · Theatre', 'Approved' and 'Release booking'.
Step 7: The 'Venue' row still reads 'SPM67 Annex (SPM67-ANX)'.</t>
        </is>
      </c>
      <c r="J17" s="7" t="n"/>
      <c r="K17" s="18" t="n"/>
      <c r="L17" s="7" t="n"/>
    </row>
    <row r="18" ht="78" customHeight="1" s="21">
      <c r="A18" s="17" t="n">
        <v>10</v>
      </c>
      <c r="B18" s="17" t="inlineStr">
        <is>
          <t>SPM-67-TC02</t>
        </is>
      </c>
      <c r="C18" s="17" t="inlineStr">
        <is>
          <t>A withdrawn request leaves Venue Staff's Booking Requests list, while the same event's other pending request stays on it</t>
        </is>
      </c>
      <c r="D18" s="17" t="inlineStr">
        <is>
          <t>AC2</t>
        </is>
      </c>
      <c r="E18" s="17" t="inlineStr">
        <is>
          <t>Positive</t>
        </is>
      </c>
      <c r="F18" s="17" t="inlineStr">
        <is>
          <t>SPM-67-TC01 has just been run ('SPM67 Pending Pair' now has SPM67 Hall Withdrawn, SPM67 Studio Pending and SPM67 Annex Approved).
Still logged in as Daniel Tan.
Run `npm run fixtures:spm67` after this case.</t>
        </is>
      </c>
      <c r="G18" s="17" t="inlineStr">
        <is>
          <t>Venue Staff: Marcus Wong
Event: SPM67 Pending Pair | Withdrawn: SPM67 Hall (SPM67-HAL) | Still pending: SPM67 Studio (SPM67-STU)</t>
        </is>
      </c>
      <c r="H18" s="17" t="inlineStr">
        <is>
          <t>1. Log out
2. Log in as marcus.wong@connectsphere.com / password123
3. Click 'Booking Requests' in the sidebar
4. Search the page for 'SPM67 Pending Pair' (Ctrl+F)</t>
        </is>
      </c>
      <c r="I18" s="17" t="inlineStr">
        <is>
          <t>Step 4: Exactly one card is for 'SPM67 Pending Pair': 'SPM67 Studio (SPM67-STU)', with the 'Pending' badge, 'Requested' '2 Nov 2027, 09:00–12:00', and its 'Approve' and 'Reject with a reason' buttons. No card for 'SPM67 Hall (SPM67-HAL)' and 'SPM67 Pending Pair' is on the page.</t>
        </is>
      </c>
      <c r="J18" s="7" t="n"/>
      <c r="K18" s="18" t="n"/>
      <c r="L18" s="7" t="n"/>
    </row>
    <row r="19" ht="243" customHeight="1" s="21">
      <c r="A19" s="17" t="n">
        <v>11</v>
      </c>
      <c r="B19" s="17" t="inlineStr">
        <is>
          <t>SPM-67-TC03</t>
        </is>
      </c>
      <c r="C19" s="17" t="inlineStr">
        <is>
          <t>The assigned Coordinator releases one approved booking with a reason, Venue Staff are told of it, and the event's other approved booking is unchanged</t>
        </is>
      </c>
      <c r="D19" s="17" t="inlineStr">
        <is>
          <t>AC3, AC5, AC6, AC7</t>
        </is>
      </c>
      <c r="E19" s="17" t="inlineStr">
        <is>
          <t>Positive</t>
        </is>
      </c>
      <c r="F19" s="17" t="inlineStr">
        <is>
          <t>Run `npm run fixtures:spm67` before this case, and again after it.
'SPM67 Release Pair' (4 Nov 2027, 09:00–12:00) has two Approved bookings: SPM67 Hall and SPM67 Studio.
Logged in as Daniel Tan (daniel.tan@connectsphere.com / password123).</t>
        </is>
      </c>
      <c r="G19" s="17" t="inlineStr">
        <is>
          <t>Event: SPM67 Release Pair | When: 4 Nov 2027, 09:00–12:00
Bookings: SPM67 Hall (SPM67-HAL), Approved | SPM67 Studio (SPM67-STU), Approved
Reason: Plenary moved to the client's own auditorium.</t>
        </is>
      </c>
      <c r="H19" s="17" t="inlineStr">
        <is>
          <t>1. Click 'All Events' in the sidebar and open 'SPM67 Release Pair'
2. Click the 'Venue' tab
3. Click 'Release booking' on the 'SPM67 Hall (SPM67-HAL)' row of the 'Booking requests' card
4. Type the reason in 'Reason (optional)'
5. Click 'Release booking' in the dialog
6. Click the 'Overview' tab</t>
        </is>
      </c>
      <c r="I19" s="17" t="inlineStr">
        <is>
          <t>Step 1: On the Overview, the 'Venue' row names both rooms, separated by ' · ': 'SPM67 Hall (SPM67-HAL)' and 'SPM67 Studio (SPM67-STU)'.
Step 2: The 'Booking requests' card lists both, each with '4 Nov 2027, 09:00–12:00 · Theatre', the 'Approved' badge and a 'Release booking' button.
Step 3: A dialog 'Release this booking?' reads 'SPM67 Hall (SPM67-HAL) on 4 Nov 2027, 09:00–12:00 will be freed for other events, and Venue Staff will be notified.' It has an empty 'Reason (optional)' box and the buttons 'Release booking' and 'Keep booking'.
Step 5: The dialog closes. A green alert 'Booking released' reads 'SPM67 Hall (SPM67-HAL) on 4 Nov 2027, 09:00–12:00 is now Released. Venue Staff have been notified. You can request another venue below.' The Hall row is still listed, now with a grey 'Released' badge, no button, and the line 'Reason for release: Plenary moved to the client's own auditorium.' 'SPM67 Studio (SPM67-STU)' still has '4 Nov 2027, 09:00–12:00 · Theatre', 'Approved' and 'Release booking'.
Step 6: The 'Venue' row reads 'SPM67 Studio (SPM67-STU)' only.</t>
        </is>
      </c>
      <c r="J19" s="7" t="n"/>
      <c r="K19" s="18" t="n"/>
      <c r="L19" s="7" t="n"/>
    </row>
    <row r="20" ht="273" customHeight="1" s="21">
      <c r="A20" s="17" t="n">
        <v>12</v>
      </c>
      <c r="B20" s="17" t="inlineStr">
        <is>
          <t>SPM-67-TC05-R</t>
        </is>
      </c>
      <c r="C20" s="17" t="inlineStr">
        <is>
          <t>After the event's only booking is released, its venue is shown as outstanding and the Coordinator can request a different venue</t>
        </is>
      </c>
      <c r="D20" s="17" t="inlineStr">
        <is>
          <t>AC8, AC3</t>
        </is>
      </c>
      <c r="E20" s="17" t="inlineStr">
        <is>
          <t>Positive</t>
        </is>
      </c>
      <c r="F20" s="17" t="inlineStr">
        <is>
          <t>Rewritten: the story's SPM-67-TC05 is out of date (SPM-88).
Run npm run fixtures:spm67 before and after this case. 'SPM67 Only Room' (16 Nov 2027, 09:00-12:00, Planning) has one booking, SPM67 Hall, Approved, and no equipment. Logged in as Daniel Tan.</t>
        </is>
      </c>
      <c r="G20" s="17" t="inlineStr">
        <is>
          <t>Event: SPM67 Only Room | Released: SPM67 Hall (SPM67-HAL) | Reason: Hall too large once the client confirmed numbers. | Requested instead: SPM67 Annex (SPM67-ANX)</t>
        </is>
      </c>
      <c r="H20" s="17" t="inlineStr">
        <is>
          <t>1. Click 'All Events' in the sidebar and open 'SPM67 Only Room'
2. Click the 'Venue' tab
3. Click 'Release booking' on the 'SPM67 Hall (SPM67-HAL)' row
4. Type the reason in 'Reason (optional)'
5. Click 'Release booking' in the dialog
6. Click the 'Readiness' tab
7. Click the 'Overview' tab
8. Click 'Confirm event'
9. Click 'Confirm event' in the dialog
10. Click the 'Venue' tab
11. Click 'Request booking' on 'SPM67 Annex (SPM67-ANX)'
12. Click 'Submit request'
13. Click 'Back to Venue'</t>
        </is>
      </c>
      <c r="I20" s="17" t="inlineStr">
        <is>
          <t>Step 1: On the Overview, the 'Venue' row reads 'SPM67 Hall (SPM67-HAL)'.
Step 5: A green alert 'Booking released' reads 'SPM67 Hall (SPM67-HAL) on 16 Nov 2027, 09:00–12:00 is now Released. Venue Staff have been notified. You can request another venue below.' The Hall row shows '16 Nov 2027, 09:00–12:00 · Theatre', 'Released' and 'Reason for release: Hall too large once the client confirmed numbers.'
Step 6: '2 arrangements still block confirmation' is shown. Under 'Venue bookings' the only row is 'No venue booked', 'Outstanding', 'No venue is booked for this event.' 'Operational Safety Check' is 'Outstanding' (Not submitted).
Step 7: The 'Venue' row reads 'Not booked yet'.
Step 9: The event stays 'Planning'. A red alert reads 'This event cannot be confirmed yet: no venue is booked for this event; the Operational Safety Check has not been submitted yet.'
Step 12: 'Booking request sent to Venue Staff.' is shown.
Step 13: The 'Booking requests' card lists 'SPM67 Annex (SPM67-ANX)' with 'Main programme · 16 Nov 2027, 09:00–12:00 · Theatre · 30 attendees', a 'Hold expires' line and 'Pending', and 'SPM67 Hall (SPM67-HAL)' with 'Released'.</t>
        </is>
      </c>
      <c r="J20" s="7" t="n"/>
      <c r="K20" s="18" t="n"/>
      <c r="L20" s="7" t="n"/>
    </row>
    <row r="21" ht="20" customHeight="1" s="21">
      <c r="A21" s="6" t="inlineStr">
        <is>
          <t>SPM-68  Review Flagged Arrangements  -  run npm run fixtures:spm68 before its first case</t>
        </is>
      </c>
      <c r="B21" s="16" t="n"/>
      <c r="C21" s="16" t="n"/>
      <c r="D21" s="16" t="n"/>
      <c r="E21" s="16" t="n"/>
      <c r="F21" s="16" t="n"/>
      <c r="G21" s="16" t="n"/>
      <c r="H21" s="16" t="n"/>
      <c r="I21" s="16" t="n"/>
      <c r="J21" s="16" t="n"/>
      <c r="K21" s="16" t="n"/>
      <c r="L21" s="16" t="n"/>
    </row>
    <row r="22" ht="318" customHeight="1" s="21">
      <c r="A22" s="17" t="n">
        <v>13</v>
      </c>
      <c r="B22" s="17" t="inlineStr">
        <is>
          <t>SPM-68-TC01</t>
        </is>
      </c>
      <c r="C22" s="17" t="inlineStr">
        <is>
          <t>The Flagged Arrangements page lists a flagged venue booking, equipment reservation and registrations on their own tabs, each with the event, the arrangement, why it was flagged and its current result, and leaves out the event's unflagged booking</t>
        </is>
      </c>
      <c r="D22" s="17" t="inlineStr">
        <is>
          <t>AC1, AC2, AC3, AC4, AC5, AC8</t>
        </is>
      </c>
      <c r="E22" s="17" t="inlineStr">
        <is>
          <t>Positive</t>
        </is>
      </c>
      <c r="F22" s="17" t="inlineStr">
        <is>
          <t>The SPM-68 fixtures are loaded (npm run fixtures:spm68). 'SPM68 Listing Summit' is in Planning, assigned to Daniel Tan, on 7 Oct 2027, 09:00-17:00, for 50 people in Theatre layout. It has two approved venue bookings: SPM68 Hall (flagged for review) and SPM68 Annex (not flagged). Its reservation of 2 SPM68 Projector is flagged, and so are its registrations (12 registered, 3 on the waiting list). Logged in as Event Coordinator Daniel Tan (daniel.tan@connectsphere.com / password123). Nothing is changed in this case. Other stories' fixtures may add items to the same page; check only the items named here.</t>
        </is>
      </c>
      <c r="G22" s="17" t="inlineStr">
        <is>
          <t>Event: SPM68 Listing Summit (Planning), 7 Oct 2027, 09:00-17:00, 50 people, Theatre
Venue bookings: SPM68 Hall (Approved, flagged), SPM68 Annex (Approved, not flagged)
Equipment: SPM68 Projector x 2 (Reserved, flagged); 4 in stock
Registrations: 12 registered, 3 on the waiting list (flagged)
Coordinator: Daniel Tan</t>
        </is>
      </c>
      <c r="H22" s="17" t="inlineStr">
        <is>
          <t>1. Click 'Flagged Arrangements' in the sidebar
2. Click the 'Equipment reservations' tab
3. Click the 'Registrations' tab
4. Click the 'Venue bookings' tab
5. Click 'SPM68 Listing Summit' in its item
6. Click the 'Venue' tab</t>
        </is>
      </c>
      <c r="I22" s="17" t="inlineStr">
        <is>
          <t>Step 1: The 'Flagged Arrangements' page opens, with the link after 'Review Queue' in the sidebar. It has three tabs, 'Venue bookings', 'Equipment reservations' and 'Registrations', each followed by how many are flagged, and opens on 'Venue bookings'. There is an item for 'SPM68 Listing Summit' showing 'SPM68 Hall (SPM68-HAL)', '7 Oct 2027, 09:00–17:00', 'Theatre', 'Flagged because: the date or time changed; the venue requirements changed', 'Suitability: Suitable' and 'Availability: Available', with the buttons 'Keep booking', 'Find a replacement venue' and 'Open Venue tab'. There is no item for SPM68 Annex. No equipment or registrations are shown on this tab.
Step 2: The 'Equipment reservations' tab shows an item for 'SPM68 Listing Summit' with 'SPM68 Projector', 'Flagged because: the date or time changed' and 'Availability: 2 reserved, 4 available for these dates.', with the buttons 'Keep reservation' and 'Open Equipment tab'. No venue booking is shown on this tab.
Step 3: The 'Registrations' tab shows an item for 'SPM68 Listing Summit' with '12 registered, 3 on the waiting list' and 'Flagged because: the date or time changed', with the buttons 'Mark as reviewed' and 'Open Overview'.
Step 4: The 'SPM68 Listing Summit' item for SPM68 Hall is shown again.
Step 5: The event's Overview opens, with the status badge 'Planning'.
Step 6: Under 'Booking requests', both SPM68 Hall and SPM68 Annex are listed as 'Approved'.</t>
        </is>
      </c>
      <c r="J22" s="7" t="n"/>
      <c r="K22" s="18" t="n"/>
      <c r="L22" s="7" t="n"/>
    </row>
    <row r="23" ht="198" customHeight="1" s="21">
      <c r="A23" s="17" t="n">
        <v>14</v>
      </c>
      <c r="B23" s="17" t="inlineStr">
        <is>
          <t>SPM-68-TC05-R</t>
        </is>
      </c>
      <c r="C23" s="17" t="inlineStr">
        <is>
          <t>A flagged venue booking blocks confirmation until it is kept; keeping it from the event's Readiness tab clears the flag, takes it off the Flagged Arrangements page and leaves the booking unchanged</t>
        </is>
      </c>
      <c r="D23" s="17" t="inlineStr">
        <is>
          <t>AC6, AC4, AC14, AC15</t>
        </is>
      </c>
      <c r="E23" s="17" t="inlineStr">
        <is>
          <t>Positive</t>
        </is>
      </c>
      <c r="F23" s="17" t="inlineStr">
        <is>
          <t>Rewritten: the story's SPM-68-TC05 is out of date (SPM-88).
Run npm run fixtures:spm68 before and after this case. 'SPM68 Attendance Review' is in Planning, assigned to Daniel Tan, 6 Oct 2027, 09:00-17:00, 80 people, Theatre. Its only booking, SPM68 Hall (Approved, Theatre seats 100), is flagged because the expected attendance changed. Logged in as Daniel Tan.</t>
        </is>
      </c>
      <c r="G23" s="17" t="inlineStr">
        <is>
          <t>Event: SPM68 Attendance Review (Planning) | Booking: SPM68 Hall (Approved, flagged: the expected attendance changed)</t>
        </is>
      </c>
      <c r="H23" s="17" t="inlineStr">
        <is>
          <t>1. Click 'All Events' in the sidebar and open 'SPM68 Attendance Review'
2. Click the 'Readiness' tab
3. Click 'Keep booking' in the 'SPM68 Hall' item
4. Click the 'Venue' tab
5. Click 'Flagged Arrangements' in the sidebar</t>
        </is>
      </c>
      <c r="I23" s="17" t="inlineStr">
        <is>
          <t>Step 2: '2 arrangements still block confirmation' is shown. 'SPM68 Hall' (Booking status: Approved) is 'Outstanding': 'SPM68 Hall for this event is flagged for review: the expected attendance changed.', with 'Review in Flagged Arrangements', 'Keep booking' and 'Mark as not required'. 'Operational Safety Check' is 'Outstanding' (Not submitted).
Step 3: 'Flag cleared' is shown with 'SPM68 Hall was kept as it is.' 'SPM68 Hall' is now 'Complete', with no flag, no 'Keep booking' and no 'Review in Flagged Arrangements'. The message changes to '1 arrangement still blocks confirmation' (the safety check).
Step 4: Under 'Booking requests', SPM68 Hall is still 'Approved' for 6 Oct 2027, 09:00–17:00 in Theatre layout.
Step 5: On the 'Venue bookings' tab there is no item for 'SPM68 Attendance Review'.</t>
        </is>
      </c>
      <c r="J23" s="7" t="n"/>
      <c r="K23" s="18" t="n"/>
      <c r="L23" s="7" t="n"/>
    </row>
    <row r="24" ht="228" customHeight="1" s="21">
      <c r="A24" s="17" t="n">
        <v>15</v>
      </c>
      <c r="B24" s="17" t="inlineStr">
        <is>
          <t>SPM-68-TC11</t>
        </is>
      </c>
      <c r="C24" s="17" t="inlineStr">
        <is>
          <t>Flagged registrations show how many attendees are registered or waitlisted and why, link to the event's Overview where the registration settings are changed, and marking them as reviewed clears the flag without changing those settings</t>
        </is>
      </c>
      <c r="D24" s="17" t="inlineStr">
        <is>
          <t>AC8, AC9</t>
        </is>
      </c>
      <c r="E24" s="17" t="inlineStr">
        <is>
          <t>Positive</t>
        </is>
      </c>
      <c r="F24" s="17" t="inlineStr">
        <is>
          <t>Run npm run fixtures:spm68 before and after this case. 'SPM68 Capacity Cut' is in Planning, assigned to Daniel Tan, with registration enabled and a registration capacity of 10; it has 12 attendees registered and 3 on the waiting list, flagged because the capacity was lowered. 'SPM68 Registration Off' is in Planning, assigned to Daniel Tan, with registration not enabled and 5 attendees registered, flagged because registration was turned off. Logged in as Daniel Tan.</t>
        </is>
      </c>
      <c r="G24" s="17" t="inlineStr">
        <is>
          <t>SPM68 Capacity Cut: registration enabled, capacity 10, 12 registered, 3 on the waiting list
SPM68 Registration Off: registration not enabled, 5 registered, 0 on the waiting list</t>
        </is>
      </c>
      <c r="H24" s="17" t="inlineStr">
        <is>
          <t>1. Click 'Flagged Arrangements' in the sidebar
2. Click the 'Registrations' tab
3. Click 'Open Overview' in the 'SPM68 Registration Off' item
4. Click 'Flagged Arrangements' in the sidebar
5. Click the 'Registrations' tab
6. Click 'Mark as reviewed' in the 'SPM68 Capacity Cut' item
7. Click 'All Events' in the sidebar
8. Click 'SPM68 Capacity Cut' in the list</t>
        </is>
      </c>
      <c r="I24" s="17" t="inlineStr">
        <is>
          <t>Step 2: On the 'Registrations' tab, the 'SPM68 Capacity Cut' item shows '12 registered, 3 on the waiting list' and 'Flagged because: the registration capacity was lowered below the number registered or waitlisted'. The 'SPM68 Registration Off' item shows '5 registered, 0 on the waiting list' and 'Flagged because: registration was turned off'. Each has the buttons 'Mark as reviewed' and 'Open Overview', and no 'Keep' button.
Step 3: The Overview of 'SPM68 Registration Off' opens. Its Registration card shows Registration 'Not enabled for this event' and has a 'Change registration settings' button.
Step 6: The message 'Flag cleared' is shown with 'Registrations for SPM68 Capacity Cut were marked as reviewed. No registration was changed.' The 'SPM68 Capacity Cut' item is no longer listed. The 'SPM68 Registration Off' item is still listed.
Step 8: On the Overview, the Registration card still shows Registration 'Enabled' and Capacity '10'. The status badge still reads 'Planning'.</t>
        </is>
      </c>
      <c r="J24" s="7" t="n"/>
      <c r="K24" s="18" t="n"/>
      <c r="L24" s="7" t="n"/>
    </row>
    <row r="25" ht="333" customHeight="1" s="21">
      <c r="A25" s="17" t="n">
        <v>16</v>
      </c>
      <c r="B25" s="17" t="inlineStr">
        <is>
          <t>SPM-68-TC12-R</t>
        </is>
      </c>
      <c r="C25" s="17" t="inlineStr">
        <is>
          <t>An event whose only flag is on its registrations can still be confirmed</t>
        </is>
      </c>
      <c r="D25" s="17" t="inlineStr">
        <is>
          <t>AC10</t>
        </is>
      </c>
      <c r="E25" s="17" t="inlineStr">
        <is>
          <t>Positive</t>
        </is>
      </c>
      <c r="F25" s="17" t="inlineStr">
        <is>
          <t>Rewritten: the story's SPM-68-TC12 is out of date (SPM-86, SPM-87, SPM-88).
Run npm run fixtures:spm68 before and after this case. 'SPM68 Ready To Confirm' is in Planning, assigned to Daniel Tan, 20 Oct 2027, 09:00-17:00, with one approved, unflagged booking at SPM68 Annex, no equipment, and registration set up (capacity 30). Its registrations (8 registered) are flagged because the date or time changed. Logged in as Daniel Tan.</t>
        </is>
      </c>
      <c r="G25" s="17" t="inlineStr">
        <is>
          <t>Event: SPM68 Ready To Confirm (Planning) | Registrations: 8 registered, 0 on the waiting list (flagged: the date or time changed)</t>
        </is>
      </c>
      <c r="H25" s="17" t="inlineStr">
        <is>
          <t>1. Click 'Flagged Arrangements' in the sidebar, then the 'Registrations' tab
2. Click 'Open Overview' in the 'SPM68 Ready To Confirm' item
3. Click the 'Readiness' tab
4. Click the 'Overview' tab
5. Click 'Submit for safety check'
6. Click 'Submit' in the dialog
7. Log out, then log in as hana.yusof@connectsphere.com / password123
8. Click 'Safety Checks' in the sidebar and open 'SPM68 Ready To Confirm'
9. Click 'Record safety decision', choose 'Approve' and click 'Record decision'
10. Log out, then log in as daniel.tan@connectsphere.com / password123
11. Click 'All Events' in the sidebar and open 'SPM68 Ready To Confirm'
12. Click 'Confirm event'
13. Click 'Confirm event' in the dialog
14. Click 'Flagged Arrangements' in the sidebar, then the 'Registrations' tab</t>
        </is>
      </c>
      <c r="I25" s="17" t="inlineStr">
        <is>
          <t>Step 1: The 'SPM68 Ready To Confirm' item shows '8 registered, 0 on the waiting list' and 'Flagged because: the date or time changed', with 'Mark as reviewed' and 'Open Overview'.
Step 3: '1 arrangement still blocks confirmation' is shown. 'SPM68 Annex' and 'Registration setup' are 'Complete': the flagged registrations do not block. The one blocker is 'Operational Safety Check' (Not submitted).
Step 5: A dialog 'Submit for safety check?' reads 'SPM68 Ready To Confirm will move to Safety review and the Safety Officer will be notified. Anything still outstanding or flagged for review will be listed instead.'
Step 6: 'The event has been submitted for a safety check. The Safety Officer has been notified.' is shown and the status badge reads 'Safety review'.
Step 9: 'Safety check approved. The coordinator has been notified.' is shown and the status badge reads 'Safety approved'.
Step 11: The status badge reads 'Safety approved' and the 'Confirm event' button is shown.
Step 12: A dialog 'Confirm this event?' reads 'SPM68 Ready To Confirm will be marked Confirmed, and the organiser will be able to see the venue and equipment arranged for it. Anything still outstanding will be listed instead.'
Step 13: 'The event is confirmed. The organiser can now see the arrangements.' is shown and the status badge reads 'Confirmed'.
Step 14: The 'SPM68 Ready To Confirm' item is still listed: confirming did not clear the flag.</t>
        </is>
      </c>
      <c r="J25" s="7" t="n"/>
      <c r="K25" s="18" t="n"/>
      <c r="L25" s="7" t="n"/>
    </row>
    <row r="26" ht="363" customHeight="1" s="21">
      <c r="A26" s="17" t="n">
        <v>17</v>
      </c>
      <c r="B26" s="17" t="inlineStr">
        <is>
          <t>SPM-68-TC13</t>
        </is>
      </c>
      <c r="C26" s="17" t="inlineStr">
        <is>
          <t>A replacement venue is searched for from the flagged booking with the search pre-filled, and requesting it adds a pending request while the flagged booking, the event's information and its status stay unchanged</t>
        </is>
      </c>
      <c r="D26" s="17" t="inlineStr">
        <is>
          <t>AC11, AC12, AC13, AC14</t>
        </is>
      </c>
      <c r="E26" s="17" t="inlineStr">
        <is>
          <t>Positive</t>
        </is>
      </c>
      <c r="F26" s="17" t="inlineStr">
        <is>
          <t>THIS RUN: SPM-68-TC14 is not selected. Skip it, and run the fixture script once the selected cases that follow on from this one are done.
Run npm run fixtures:spm68 before this case. Go straight on to SPM-68-TC14, which needs the request this case makes, and reset after that one; to stop here instead, run npm run fixtures:spm68 again now. 'SPM68 Outgrown Room' is in Planning, assigned to Daniel Tan, on 8 Oct 2027, 09:00-17:00, for 150 people in Theatre layout, and requires 'Fixed ceiling projector' and 'Step-free access'. Its approved booking at SPM68 Hall (8 Oct 2027, 09:00-17:00, Theatre, seats 100) is flagged. SPM68 Spare Room seats 200 in Theatre layout, has both required features and is free that day. Logged in as Daniel Tan.</t>
        </is>
      </c>
      <c r="G26" s="17" t="inlineStr">
        <is>
          <t>Event: SPM68 Outgrown Room (Planning), 8 Oct 2027, 09:00-17:00, 150 people, Theatre; requires Fixed ceiling projector and Step-free access
Flagged booking: SPM68 Hall (Approved), 8 Oct 2027, 09:00-17:00, Theatre
Replacement: SPM68 Spare Room (Theatre seats 200), 8 Oct 2027, 09:00-17:00</t>
        </is>
      </c>
      <c r="H26" s="17" t="inlineStr">
        <is>
          <t>1. Click 'Flagged Arrangements' in the sidebar
2. Click 'Find a replacement venue' in the 'SPM68 Outgrown Room' item
3. Click 'Request booking' on the 'SPM68 Spare Room (SPM68-SPR)' result
4. Click 'Submit request'
5. Click 'Back to Venue'
6. Click the 'Overview' tab
7. Click 'Flagged Arrangements' in the sidebar</t>
        </is>
      </c>
      <c r="I26" s="17" t="inlineStr">
        <is>
          <t>Step 2: The 'Find a venue' page opens, saying 'Filled in from the flagged booking at SPM68 Hall. Change any filter and search again.' 'From' reads 8 Oct 2027, 09:00 and 'To' reads 8 Oct 2027, 17:00. 'Expected attendance' reads 150. 'Room layout' reads 'Theatre'. 'Step-free access' is ticked under 'Accessibility requirements' and 'Fixed ceiling projector' is ticked under 'Required facilities'; nothing else is ticked. The results include 'SPM68 Spare Room (SPM68-SPR)' with a 'Request booking' button, and do not include SPM68 Hall.
 Step 3: The 'Request a venue booking' page opens for SPM68 Spare Room, with Date 8 Oct 2027, Start time 09:00 and End time 17:00, 'What is this space for?' reading 'Main programme', 'Expected attendance for this space' reading 150 and 'Room layout' reading 'Theatre', all filled in.
 Step 4: The message 'Booking request sent to Venue Staff.' is shown.
 Step 5: Under 'Booking requests', SPM68 Spare Room is listed as 'Pending' and SPM68 Hall is still listed as 'Approved', both for 8 Oct 2027, 09:00–17:00.
 Step 6: The status badge still reads 'Planning'. The event still shows 8 Oct 2027, 09:00–17:00, an expected attendance of 150 and Theatre layout.
 Step 7: The 'SPM68 Outgrown Room' item for SPM68 Hall is still listed on the 'Venue bookings' tab, still flagged, with 'Suitability: Not suitable', 'This booking can't be kept while it doesn't meet the event's requirements.' and the buttons 'Find a replacement venue' and 'Open Venue tab'. It has no 'Keep booking' button: requesting a replacement does not make the room big enough.</t>
        </is>
      </c>
      <c r="J26" s="7" t="n"/>
      <c r="K26" s="18" t="n"/>
      <c r="L26" s="7" t="n"/>
    </row>
    <row r="27" ht="20" customHeight="1" s="21">
      <c r="A27" s="6" t="inlineStr">
        <is>
          <t>SPM-81  Request More Than One Venue for an Event  -  run npm run fixtures:spm81 before its first case</t>
        </is>
      </c>
      <c r="B27" s="16" t="n"/>
      <c r="C27" s="16" t="n"/>
      <c r="D27" s="16" t="n"/>
      <c r="E27" s="16" t="n"/>
      <c r="F27" s="16" t="n"/>
      <c r="G27" s="16" t="n"/>
      <c r="H27" s="16" t="n"/>
      <c r="I27" s="16" t="n"/>
      <c r="J27" s="16" t="n"/>
      <c r="K27" s="16" t="n"/>
      <c r="L27" s="16" t="n"/>
    </row>
    <row r="28" ht="228" customHeight="1" s="21">
      <c r="A28" s="17" t="n">
        <v>18</v>
      </c>
      <c r="B28" s="17" t="inlineStr">
        <is>
          <t>SPM-81-TC01</t>
        </is>
      </c>
      <c r="C28" s="17" t="inlineStr">
        <is>
          <t>The Coordinator requests two different venues for the same event at the same date and times, and both requests are accepted and listed together</t>
        </is>
      </c>
      <c r="D28" s="17" t="inlineStr">
        <is>
          <t>AC1, AC3, AC6</t>
        </is>
      </c>
      <c r="E28" s="17" t="inlineStr">
        <is>
          <t>Positive</t>
        </is>
      </c>
      <c r="F28" s="17" t="inlineStr">
        <is>
          <t>READ FIRST: v2 (2026-10-19): Since SPM-90 (Week 7 Change #3), 'What is this space for?' starts empty on an event's second venue request and must be filled in (for example 'Breakout room') before Submit request. Found in the Sprint 3 regression (Sammi, 2026-10-18, 'Changed by design'). The behaviour this case checks is unchanged.
Run `npm run fixtures:spm81` from the project folder before this case (it only touches the 'SPM81 …' events and venues, never anyone else's data). Run it again after this case: the case sends two booking requests.
Logged out.</t>
        </is>
      </c>
      <c r="G28" s="17" t="inlineStr">
        <is>
          <t>Event: SPM81 Leadership Summit | When: 3 Aug 2027, 09:00–17:00 | No sessions | Status: Planning | No booking requests yet
Venues: SPM81 Auditorium (SPM81-AUD), setup 30 min, turnaround 30 min; SPM81 Breakout Room A (SPM81-BRA), no setup or turnaround
Both requested for 3 Aug 2027, 09:00–17:00</t>
        </is>
      </c>
      <c r="H28" s="17" t="inlineStr">
        <is>
          <t>1. Log in as daniel.tan@connectsphere.com / password123
2. Click 'All Events' in the sidebar and open 'SPM81 Leadership Summit'
3. Click the 'Venue' tab
4. Click 'Request booking' on 'SPM81 Auditorium (SPM81-AUD)'
5. Click 'Submit request'
6. Click 'Back to Venue'
7. Click 'Request booking' on 'SPM81 Breakout Room A (SPM81-BRA)'
8. Click 'Submit request'
9. Click 'Back to Venue'</t>
        </is>
      </c>
      <c r="I28" s="17" t="inlineStr">
        <is>
          <t>Step 4: The 'Request a venue booking' page opens for 'SPM81 Leadership Summit' at 'SPM81 Auditorium (SPM81-AUD)'. 'Date' shows 3 Aug 2027, 'Start time' 09:00 and 'End time' 17:00, with 'Room in use: 08:30–17:30'.
Step 5: A green alert 'Booking request sent to Venue Staff.' is shown.
Step 6: The Venue tab's 'Booking requests' card lists 'SPM81 Auditorium (SPM81-AUD)' with '3 Aug 2027, 09:00–17:00 · Theatre' and the 'Pending' badge. 'Request booking' is still offered on 'SPM81 Breakout Room A (SPM81-BRA)'.
Step 7: The page opens for 'SPM81 Breakout Room A (SPM81-BRA)' with the same date and times: 3 Aug 2027, 09:00 to 17:00.
Step 8: A green alert 'Booking request sent to Venue Staff.' is shown. The request is not refused because the event already has a request for the Auditorium at the same times.
Step 9: The 'Booking requests' card lists both requests together: 'SPM81 Auditorium (SPM81-AUD)' and 'SPM81 Breakout Room A (SPM81-BRA)', each with '3 Aug 2027, 09:00–17:00 · Theatre' and its own 'Pending' badge.</t>
        </is>
      </c>
      <c r="J28" s="7" t="n"/>
      <c r="K28" s="18" t="n"/>
      <c r="L28" s="7" t="n"/>
    </row>
    <row r="29" ht="198" customHeight="1" s="21">
      <c r="A29" s="17" t="n">
        <v>19</v>
      </c>
      <c r="B29" s="17" t="inlineStr">
        <is>
          <t>SPM-81-TC05</t>
        </is>
      </c>
      <c r="C29" s="17" t="inlineStr">
        <is>
          <t>Venue Staff see each of an event's venue requests as its own card, and approving one leaves the other Pending</t>
        </is>
      </c>
      <c r="D29" s="17" t="inlineStr">
        <is>
          <t>AC5</t>
        </is>
      </c>
      <c r="E29" s="17" t="inlineStr">
        <is>
          <t>Positive</t>
        </is>
      </c>
      <c r="F29" s="17" t="inlineStr">
        <is>
          <t>Run `npm run fixtures:spm81` before this case. Do not run it again afterwards: go straight on to SPM-81-TC06, and reset after that one.
'SPM81 Partner Day' has two Pending requests for 17 Aug 2027, 09:00–12:00: one at SPM81 Auditorium and one at SPM81 Breakout Room A.
Logged out.</t>
        </is>
      </c>
      <c r="G29" s="17" t="inlineStr">
        <is>
          <t>Event: SPM81 Partner Day | When: 17 Aug 2027, 09:00–12:00
Requests: SPM81 Auditorium (SPM81-AUD), Pending; SPM81 Breakout Room A (SPM81-BRA), Pending</t>
        </is>
      </c>
      <c r="H29" s="17" t="inlineStr">
        <is>
          <t>1. Log in as marcus.wong@connectsphere.com / password123
2. Click 'Booking Requests' in the sidebar
3. Find the 'SPM81 Auditorium' card for 'SPM81 Partner Day' (use Ctrl+F) and click 'Approve'
4. Click 'Approve' in the dialog</t>
        </is>
      </c>
      <c r="I29" s="17" t="inlineStr">
        <is>
          <t>Step 2: The 'Booking Requests' page lists two separate cards for 'SPM81 Partner Day': 'SPM81 Auditorium (SPM81-AUD)' and 'SPM81 Breakout Room A (SPM81-BRA)'. Each has its own 'Pending' badge, a 'Requested' row reading '17 Aug 2027, 09:00–12:00', and its own 'Approve' and 'Reject with a reason' buttons.
Step 3: The 'Approve this booking?' dialog names only the Auditorium: 'This books SPM81 Auditorium (SPM81-AUD) for &lt;reference&gt; SPM81 Partner Day on 17 Aug 2027, 09:00–12:00.'
Step 4: A green alert 'Booking approved' reads 'SPM81 Auditorium (SPM81-AUD) for &lt;reference&gt; SPM81 Partner Day on 17 Aug 2027, 09:00–12:00 is now Approved — the room is booked.' The Auditorium card leaves the list. The 'SPM81 Breakout Room A' card for 'SPM81 Partner Day' is still listed with the 'Pending' badge, no 'Conflict' badge, and its 'Approve' button enabled.</t>
        </is>
      </c>
      <c r="J29" s="7" t="n"/>
      <c r="K29" s="18" t="n"/>
      <c r="L29" s="7" t="n"/>
    </row>
    <row r="30" ht="168" customHeight="1" s="21">
      <c r="A30" s="17" t="n">
        <v>20</v>
      </c>
      <c r="B30" s="17" t="inlineStr">
        <is>
          <t>SPM-81-TC06</t>
        </is>
      </c>
      <c r="C30" s="17" t="inlineStr">
        <is>
          <t>Rejecting one of an event's venue requests leaves its other, approved booking unchanged</t>
        </is>
      </c>
      <c r="D30" s="17" t="inlineStr">
        <is>
          <t>AC7, AC5, AC6</t>
        </is>
      </c>
      <c r="E30" s="17" t="inlineStr">
        <is>
          <t>Positive</t>
        </is>
      </c>
      <c r="F30" s="17" t="inlineStr">
        <is>
          <t>SPM-81-TC05 has just been run (SPM81 Auditorium is Approved for 'SPM81 Partner Day'; its request for SPM81 Breakout Room A is still Pending).
Still logged in as Marcus Wong, on the 'Booking Requests' page.
Run `npm run fixtures:spm81` after this case.</t>
        </is>
      </c>
      <c r="G30" s="17" t="inlineStr">
        <is>
          <t>Reason for rejection: Breakout Room A is reserved for staff training that morning.</t>
        </is>
      </c>
      <c r="H30" s="17" t="inlineStr">
        <is>
          <t>1. Find the 'SPM81 Breakout Room A' card for 'SPM81 Partner Day' (use Ctrl+F) and click 'Reject with a reason'
2. Type the reason in 'Reason for rejection' and click 'Reject request'
3. Log out
4. Log in as daniel.tan@connectsphere.com / password123
5. Click 'All Events' in the sidebar and open 'SPM81 Partner Day'
6. Click the 'Venue' tab</t>
        </is>
      </c>
      <c r="I30" s="17" t="inlineStr">
        <is>
          <t>Step 2: A green alert 'Booking request rejected' reads 'SPM81 Breakout Room A (SPM81-BRA) for &lt;reference&gt; SPM81 Partner Day on 17 Aug 2027, 09:00–12:00 is now Rejected. The Coordinator can see your reason on the event's Venue tab.' The card leaves the list.
Step 5: On the Overview, the 'Venue' row still reads 'SPM81 Auditorium (SPM81-AUD)'.
Step 6: The 'Booking requests' card lists both requests. 'SPM81 Auditorium (SPM81-AUD)', '17 Aug 2027, 09:00–12:00 · Theatre', still has the 'Approved' badge. 'SPM81 Breakout Room A (SPM81-BRA)', '17 Aug 2027, 09:00–12:00 · Theatre', has the 'Rejected' badge and 'Reason from Venue Staff: Breakout Room A is reserved for staff training that morning.'</t>
        </is>
      </c>
      <c r="J30" s="7" t="n"/>
      <c r="K30" s="18" t="n"/>
      <c r="L30" s="7" t="n"/>
    </row>
    <row r="31" ht="108" customHeight="1" s="21">
      <c r="A31" s="17" t="n">
        <v>21</v>
      </c>
      <c r="B31" s="17" t="inlineStr">
        <is>
          <t>SPM-81-TC08</t>
        </is>
      </c>
      <c r="C31" s="17" t="inlineStr">
        <is>
          <t>An event with a single venue booking is shown as before: one room on the Overview and one request on the Venue tab</t>
        </is>
      </c>
      <c r="D31" s="17" t="inlineStr">
        <is>
          <t>AC8</t>
        </is>
      </c>
      <c r="E31" s="17" t="inlineStr">
        <is>
          <t>Positive</t>
        </is>
      </c>
      <c r="F31" s="17" t="inlineStr">
        <is>
          <t>`npm run fixtures:spm81` has been run since the last full `npx prisma db seed`.
'SPM81 Solo Workshop' has one Approved booking, at SPM81 Auditorium on 26 Aug 2027, 09:00–12:00.
Logged in as Daniel Tan (daniel.tan@connectsphere.com / password123).
Nothing is saved in this case.</t>
        </is>
      </c>
      <c r="G31" s="17" t="inlineStr">
        <is>
          <t>Event: SPM81 Solo Workshop | When: 26 Aug 2027, 09:00–12:00
Booking: SPM81 Auditorium (SPM81-AUD), Approved, 09:00–12:00</t>
        </is>
      </c>
      <c r="H31" s="17" t="inlineStr">
        <is>
          <t>1. Click 'All Events' in the sidebar and open 'SPM81 Solo Workshop'
2. Click the 'Venue' tab</t>
        </is>
      </c>
      <c r="I31" s="17" t="inlineStr">
        <is>
          <t>Step 1: On the Overview, the 'Venue' row reads 'SPM81 Auditorium (SPM81-AUD)' and nothing else.
Step 2: The 'Booking requests' card lists one request: 'SPM81 Auditorium (SPM81-AUD)' with '26 Aug 2027, 09:00–12:00 · Theatre' and the 'Approved' badge. The venue list below it is unchanged: each suitable venue has 'Suitable' and a 'Request booking' button.</t>
        </is>
      </c>
      <c r="J31" s="7" t="n"/>
      <c r="K31" s="18" t="n"/>
      <c r="L31" s="7" t="n"/>
    </row>
    <row r="32" ht="20" customHeight="1" s="21">
      <c r="A32" s="6" t="inlineStr">
        <is>
          <t>SPM-82  Expire Tentative Venue Hold  -  run npm run fixtures:spm82 before its first case</t>
        </is>
      </c>
      <c r="B32" s="16" t="n"/>
      <c r="C32" s="16" t="n"/>
      <c r="D32" s="16" t="n"/>
      <c r="E32" s="16" t="n"/>
      <c r="F32" s="16" t="n"/>
      <c r="G32" s="16" t="n"/>
      <c r="H32" s="16" t="n"/>
      <c r="I32" s="16" t="n"/>
      <c r="J32" s="16" t="n"/>
      <c r="K32" s="16" t="n"/>
      <c r="L32" s="16" t="n"/>
    </row>
    <row r="33" ht="108" customHeight="1" s="21">
      <c r="A33" s="17" t="n">
        <v>22</v>
      </c>
      <c r="B33" s="17" t="inlineStr">
        <is>
          <t>SPM-82-TC01</t>
        </is>
      </c>
      <c r="C33" s="17" t="inlineStr">
        <is>
          <t>A new venue request is held for 7 days, and the Coordinator sees when the hold expires</t>
        </is>
      </c>
      <c r="D33" s="17" t="inlineStr">
        <is>
          <t>AC1, AC2</t>
        </is>
      </c>
      <c r="E33" s="17" t="inlineStr">
        <is>
          <t>Positive</t>
        </is>
      </c>
      <c r="F33" s="17" t="inlineStr">
        <is>
          <t>Run npm run fixtures:spm82 before and after this case (it changes data). 'SPM82 Fresh Request Expo' (8 Mar 2027, 09:00-12:00) is in Planning with no venue booking. Logged in as Daniel Tan (Event Coordinator), its assigned coordinator. Note the date and time you click 'Submit request'.</t>
        </is>
      </c>
      <c r="G33" s="17" t="inlineStr">
        <is>
          <t>Event: SPM82 Fresh Request Expo (8 Mar 2027, 09:00-12:00)
Venue: SPM82 Hold Room (SPM82-HOLD)
Expected expiry: exactly 7 days after the moment the request is submitted</t>
        </is>
      </c>
      <c r="H33" s="17" t="inlineStr">
        <is>
          <t>1. Click 'All Events' in the sidebar and open 'SPM82 Fresh Request Expo'
2. Click the 'Venue' tab
3. Find 'SPM82 Hold Room (SPM82-HOLD)' in the venue list and click 'Request booking'
4. Click 'Submit request'
5. Click 'Back to Venue'</t>
        </is>
      </c>
      <c r="I33" s="17" t="inlineStr">
        <is>
          <t>Step 4: 'Booking request sent to Venue Staff.' is shown.
Step 5: Under 'Booking requests', the SPM82 Hold Room request has the 'Pending' badge and reads 'Hold expires &lt;date and time&gt;', where that is the same time of day, 7 days after you submitted it.</t>
        </is>
      </c>
      <c r="J33" s="7" t="n"/>
      <c r="K33" s="18" t="n"/>
      <c r="L33" s="7" t="n"/>
    </row>
    <row r="34" ht="183" customHeight="1" s="21">
      <c r="A34" s="17" t="n">
        <v>23</v>
      </c>
      <c r="B34" s="17" t="inlineStr">
        <is>
          <t>SPM-82-TC05</t>
        </is>
      </c>
      <c r="C34" s="17" t="inlineStr">
        <is>
          <t>Venue Staff bring a hold's expiry forward, and once that time passes the hold leaves their list and the event shows it as Expired</t>
        </is>
      </c>
      <c r="D34" s="17" t="inlineStr">
        <is>
          <t>AC3, AC4</t>
        </is>
      </c>
      <c r="E34" s="17" t="inlineStr">
        <is>
          <t>Positive</t>
        </is>
      </c>
      <c r="F34" s="17" t="inlineStr">
        <is>
          <t>Run npm run fixtures:spm82 before and after this case (it changes data). 'SPM82 Countdown Clinic' has a pending hold at SPM82 Hold Room expiring 20 Jan 2027, 09:00. Logged in as Marcus Wong (Venue Staff).</t>
        </is>
      </c>
      <c r="G34" s="17" t="inlineStr">
        <is>
          <t>Event: SPM82 Countdown Clinic
New expiry: 2 minutes after the current time
Coordinator: daniel.tan@connectsphere.com / password123</t>
        </is>
      </c>
      <c r="H34" s="17" t="inlineStr">
        <is>
          <t>1. Click 'Booking Requests' in the sidebar
2. On the 'SPM82 Countdown Clinic' card, click 'Change expiry'
3. Set 'New expiry' to 2 minutes from now and click 'Save expiry'
4. Wait until that time has passed, then click 'Booking Requests' in the sidebar
5. Log out
6. Log in as daniel.tan@connectsphere.com / password123
7. Click 'All Events' in the sidebar and open 'SPM82 Countdown Clinic'
8. Click the 'Venue' tab</t>
        </is>
      </c>
      <c r="I34" s="17" t="inlineStr">
        <is>
          <t>Step 3: 'Hold expiry changed to &lt;the time you chose&gt;.' is shown, and the card's 'Hold expires' row reads that time.
Step 4: The 'SPM82 Countdown Clinic' card is no longer listed: the hold has expired.
Step 8: Under 'Booking requests', SPM82 Hold Room has the badge 'Expired' and reads 'Hold expired on &lt;the time you chose in step 3&gt;'.</t>
        </is>
      </c>
      <c r="J34" s="7" t="n"/>
      <c r="K34" s="18" t="n"/>
      <c r="L34" s="7" t="n"/>
    </row>
    <row r="35" ht="153" customHeight="1" s="21">
      <c r="A35" s="17" t="n">
        <v>24</v>
      </c>
      <c r="B35" s="17" t="inlineStr">
        <is>
          <t>SPM-82-TC06</t>
        </is>
      </c>
      <c r="C35" s="17" t="inlineStr">
        <is>
          <t>An expired hold stays on the event, marked Expired and distinct from pending, approved, rejected and withdrawn bookings - and an approved booking does not expire</t>
        </is>
      </c>
      <c r="D35" s="17" t="inlineStr">
        <is>
          <t>AC4, AC8, AC11</t>
        </is>
      </c>
      <c r="E35" s="17" t="inlineStr">
        <is>
          <t>Positive</t>
        </is>
      </c>
      <c r="F35" s="17" t="inlineStr">
        <is>
          <t>npm run fixtures:spm82 has been run. 'SPM82 Lapsed Workshop' (22 Feb 2027, 14:00-17:00) has five venue bookings: SPM82 Hold Room (pending, hold due to expire 1 Oct 2026, 09:00 - now past), Orchard Seminar Room (approved; its hold deadline of 1 Oct 2026 also passed before it was approved), Marina Auditorium (rejected), Orchard Gallery (withdrawn) and One-North Seminar Room (pending, hold expires 20 Feb 2027, 09:00). Logged in as Daniel Tan (Event Coordinator).</t>
        </is>
      </c>
      <c r="G35" s="17" t="inlineStr">
        <is>
          <t>Event: SPM82 Lapsed Workshop
Bookings: SPM82 Hold Room (hold expired 1 Oct 2026, 09:00); Orchard Seminar Room (approved); Marina Auditorium (rejected); Orchard Gallery (withdrawn); One-North Seminar Room (pending, expires 20 Feb 2027, 09:00)</t>
        </is>
      </c>
      <c r="H35" s="17" t="inlineStr">
        <is>
          <t>1. Click 'All Events' in the sidebar and open 'SPM82 Lapsed Workshop'
2. Click the 'Venue' tab</t>
        </is>
      </c>
      <c r="I35" s="17" t="inlineStr">
        <is>
          <t>Step 2: Under 'Booking requests' all five are listed, each with its own badge: SPM82 Hold Room 'Expired' with 'Hold expired on 1 Oct 2026, 09:00'; One-North Seminar Room 'Pending' with 'Hold expires 20 Feb 2027, 09:00'; Orchard Seminar Room 'Approved' with no expiry line; Marina Auditorium 'Rejected'; Orchard Gallery 'Withdrawn'.</t>
        </is>
      </c>
      <c r="J35" s="7" t="n"/>
      <c r="K35" s="18" t="n"/>
      <c r="L35" s="7" t="n"/>
    </row>
    <row r="36" ht="168" customHeight="1" s="21">
      <c r="A36" s="17" t="n">
        <v>25</v>
      </c>
      <c r="B36" s="17" t="inlineStr">
        <is>
          <t>SPM-82-TC07</t>
        </is>
      </c>
      <c r="C36" s="17" t="inlineStr">
        <is>
          <t>The Coordinator is warned only when a hold expires within 24 hours and told when a hold has expired, and each notification opens the event's Venue tab</t>
        </is>
      </c>
      <c r="D36" s="17" t="inlineStr">
        <is>
          <t>AC9</t>
        </is>
      </c>
      <c r="E36" s="17" t="inlineStr">
        <is>
          <t>Positive</t>
        </is>
      </c>
      <c r="F36" s="17" t="inlineStr">
        <is>
          <t>Run npm run fixtures:spm82 before this case. 'SPM82 Closing Soon Forum' has a pending hold at SPM82 Hold Room expiring 12 hours after the fixtures were run. 'SPM82 Lapsed Workshop' has a hold at SPM82 Hold Room whose expiry, 1 Oct 2026, 09:00, has passed. 'SPM82 Harbour Product Briefing' has a pending hold at SPM82 Hold Room expiring 15 Jan 2027, 09:00 - months away. Logged in as Daniel Tan (Event Coordinator), the assigned coordinator of both. Run npm run fixtures:spm82 after this case.</t>
        </is>
      </c>
      <c r="G36" s="17" t="inlineStr">
        <is>
          <t>Warning: SPM82 Closing Soon Forum, hold expires about 12 hours after the fixtures ran
Expired: SPM82 Lapsed Workshop, hold expired 1 Oct 2026, 09:00
Not due: SPM82 Harbour Product Briefing, hold expires 15 Jan 2027, 09:00</t>
        </is>
      </c>
      <c r="H36" s="17" t="inlineStr">
        <is>
          <t>1. Click 'Notifications' in the sidebar
2. Click 'Venue hold expired'</t>
        </is>
      </c>
      <c r="I36" s="17" t="inlineStr">
        <is>
          <t>Step 1: The list includes 'Venue hold expires soon' for 'SPM82 Closing Soon Forum', saying the hold on SPM82 Hold Room (SPM82-HOLD) expires at a time about 12 hours after the fixtures ran, and 'Venue hold expired' for 'SPM82 Lapsed Workshop', saying the hold on SPM82 Hold Room (SPM82-HOLD) expired on 1 Oct 2026, 09:00 and the venue has been released. Both are Unread. There is no 'Venue hold expires soon' for 'SPM82 Harbour Product Briefing', whose hold is not due for months.
Step 2: The Venue tab of 'SPM82 Lapsed Workshop' opens.</t>
        </is>
      </c>
      <c r="J36" s="7" t="n"/>
      <c r="K36" s="18" t="n"/>
      <c r="L36" s="7" t="n"/>
    </row>
    <row r="37" ht="138" customHeight="1" s="21">
      <c r="A37" s="17" t="n">
        <v>26</v>
      </c>
      <c r="B37" s="17" t="inlineStr">
        <is>
          <t>SPM-82-TC09</t>
        </is>
      </c>
      <c r="C37" s="17" t="inlineStr">
        <is>
          <t>After a hold expires the Coordinator can request the same room again, and the new request replaces the expired one as the venue arrangement</t>
        </is>
      </c>
      <c r="D37" s="17" t="inlineStr">
        <is>
          <t>AC5, AC10</t>
        </is>
      </c>
      <c r="E37" s="17" t="inlineStr">
        <is>
          <t>Positive</t>
        </is>
      </c>
      <c r="F37" s="17" t="inlineStr">
        <is>
          <t>Run npm run fixtures:spm82 before and after this case (it changes data). 'SPM82 Expired Only Talk' (1 Mar 2027, 14:00-16:00): its only venue booking, a hold at SPM82 Hold Room, expired on 1 Oct 2026, 09:00. Logged in as Daniel Tan (Event Coordinator).</t>
        </is>
      </c>
      <c r="G37" s="17" t="inlineStr">
        <is>
          <t>Event: SPM82 Expired Only Talk
Room requested again: SPM82 Hold Room (SPM82-HOLD), 1 Mar 2027, 14:00-16:00</t>
        </is>
      </c>
      <c r="H37" s="17" t="inlineStr">
        <is>
          <t>1. Click 'All Events' in the sidebar and open 'SPM82 Expired Only Talk'
2. Click the 'Venue' tab
3. Find 'SPM82 Hold Room (SPM82-HOLD)' in the venue list and click 'Request booking'
4. Click 'Submit request'
5. Click 'Back to Venue'
6. Click the 'Readiness' tab</t>
        </is>
      </c>
      <c r="I37" s="17" t="inlineStr">
        <is>
          <t>Step 4: 'Booking request sent to Venue Staff.' is shown - the expired hold does not block the same room.
Step 5: Under 'Booking requests' the new SPM82 Hold Room request is 'Pending' with its own 'Hold expires' line, and the old one is still listed as 'Expired'.
Step 6: Under 'Venue bookings', SPM82 Hold Room shows 'Space: Main programme · Booking status: Pending' and is 'Outstanding' only as 'SPM82 Hold Room (Main programme) for this event is still awaiting a decision from Venue Staff.' The expired hold is no longer listed as outstanding.</t>
        </is>
      </c>
      <c r="J37" s="7" t="n"/>
      <c r="K37" s="18" t="n"/>
      <c r="L37" s="7" t="n"/>
    </row>
    <row r="38" ht="198" customHeight="1" s="21">
      <c r="A38" s="17" t="n">
        <v>27</v>
      </c>
      <c r="B38" s="17" t="inlineStr">
        <is>
          <t>SPM-82-TC10</t>
        </is>
      </c>
      <c r="C38" s="17" t="inlineStr">
        <is>
          <t>Venue search and a new booking request treat the time an expired hold took up, including the room's setup and turnaround, as free</t>
        </is>
      </c>
      <c r="D38" s="17" t="inlineStr">
        <is>
          <t>AC6</t>
        </is>
      </c>
      <c r="E38" s="17" t="inlineStr">
        <is>
          <t>Boundary</t>
        </is>
      </c>
      <c r="F38" s="17" t="inlineStr">
        <is>
          <t>Run npm run fixtures:spm82 before and after this case (it changes data). SPM82 Hold Room has 60 minutes of setup and 60 of turnaround. 'SPM82 Lapsed Workshop' held it on 22 Feb 2027, 14:00-17:00 - occupying 13:00-18:00 with setup and turnaround - until the hold expired on 1 Oct 2026, 09:00. 'SPM82 Rival Seminar' runs 22 Feb 2027, 17:00-19:00, so its own setup starts at 16:00. 'SPM82 Harbour Product Briefing' still holds the room on 8 Feb 2027, 09:00-12:00 (its hold expires 15 Jan 2027). Logged in as Daniel Tan (Event Coordinator).</t>
        </is>
      </c>
      <c r="G38" s="17" t="inlineStr">
        <is>
          <t>Expired hold: SPM82 Lapsed Workshop, 22 Feb 2027, 14:00-17:00 (occupying 13:00-18:00)
Active hold: SPM82 Harbour Product Briefing, 8 Feb 2027, 09:00-12:00
Search 1: 22 Feb 2027, 15:00-16:00
Search 2: 8 Feb 2027, 10:00-11:00
New request: SPM82 Rival Seminar, 22 Feb 2027, 17:00-19:00 (occupying 16:00-20:00)</t>
        </is>
      </c>
      <c r="H38" s="17" t="inlineStr">
        <is>
          <t>1. Click 'Venues' in the sidebar and click 'Find a venue'
2. Set 'From' to 22 Feb 2027, 15:00 and 'To' to 22 Feb 2027, 16:00, and click 'Search'
3. Set 'From' to 8 Feb 2027, 10:00 and 'To' to 8 Feb 2027, 11:00, and click 'Search'
4. Click 'All Events' in the sidebar and open 'SPM82 Rival Seminar'
5. Click the 'Venue' tab
6. Find 'SPM82 Hold Room (SPM82-HOLD)' in the venue list and click 'Request booking'
7. Click 'Submit request'</t>
        </is>
      </c>
      <c r="I38" s="17" t="inlineStr">
        <is>
          <t>Step 2: 'SPM82 Hold Room' is among the results: the expired hold of 'SPM82 Lapsed Workshop' no longer makes it unavailable at that time.
Step 3: 'SPM82 Hold Room' is not among the results: an active hold (SPM82 Harbour Product Briefing) still takes the room out of the search.
Step 7: 'Booking request sent to Venue Staff.' is shown. The request is not refused as on hold for 'SPM82 Lapsed Workshop', although its setup and turnaround overlap the time that hold took up.</t>
        </is>
      </c>
      <c r="J38" s="7" t="n"/>
      <c r="K38" s="18" t="n"/>
      <c r="L38" s="7" t="n"/>
    </row>
    <row r="39" ht="108" customHeight="1" s="21">
      <c r="A39" s="17" t="n">
        <v>28</v>
      </c>
      <c r="B39" s="17" t="inlineStr">
        <is>
          <t>SPM-82-TC11</t>
        </is>
      </c>
      <c r="C39" s="17" t="inlineStr">
        <is>
          <t>The availability calendar shows an active hold as Requested but no longer shows an expired one</t>
        </is>
      </c>
      <c r="D39" s="17" t="inlineStr">
        <is>
          <t>AC7</t>
        </is>
      </c>
      <c r="E39" s="17" t="inlineStr">
        <is>
          <t>Positive</t>
        </is>
      </c>
      <c r="F39" s="17" t="inlineStr">
        <is>
          <t>npm run fixtures:spm82 has been run (and SPM-82-TC10 has not been run since). On SPM82 Hold Room: 'SPM82 Harbour Product Briefing' holds 8 Feb 2027, 09:00-12:00 (pending); 'SPM82 Lapsed Workshop' held 22 Feb 2027, 14:00-17:00 until its hold expired. Logged in as Daniel Tan (Event Coordinator).</t>
        </is>
      </c>
      <c r="G39" s="17" t="inlineStr">
        <is>
          <t>Venue: SPM82 Hold Room (SPM82-HOLD)
Active hold: 8 Feb 2027, 09:00-12:00 (SPM82 Harbour Product Briefing)
Expired hold: 22 Feb 2027, 14:00-17:00 (SPM82 Lapsed Workshop)</t>
        </is>
      </c>
      <c r="H39" s="17" t="inlineStr">
        <is>
          <t>1. Click 'Venues' in the sidebar
2. Click 'View availability' on the 'SPM82 Hold Room (SPM82-HOLD)' row
3. Set 'From' to 8 Feb 2027 and 'To' to 14 Feb 2027, and click 'Show availability'
4. Set 'From' to 22 Feb 2027 and 'To' to 28 Feb 2027, and click 'Show availability'</t>
        </is>
      </c>
      <c r="I39" s="17" t="inlineStr">
        <is>
          <t>Step 3: Under 'Requested, not yet approved', the 'SPM82 Harbour Product Briefing' hold on 8 Feb 2027 is listed.
Step 4: 'SPM82 Lapsed Workshop' appears nowhere on the calendar, and there is no 'Requested, not yet approved' list: the room has no hold that week.</t>
        </is>
      </c>
      <c r="J39" s="7" t="n"/>
      <c r="K39" s="18" t="n"/>
      <c r="L39" s="7" t="n"/>
    </row>
    <row r="40" ht="20" customHeight="1" s="21">
      <c r="A40" s="6" t="inlineStr">
        <is>
          <t>SPM-64  Configure Event Registration  -  run npm run fixtures:spm64 before its first case</t>
        </is>
      </c>
      <c r="B40" s="16" t="n"/>
      <c r="C40" s="16" t="n"/>
      <c r="D40" s="16" t="n"/>
      <c r="E40" s="16" t="n"/>
      <c r="F40" s="16" t="n"/>
      <c r="G40" s="16" t="n"/>
      <c r="H40" s="16" t="n"/>
      <c r="I40" s="16" t="n"/>
      <c r="J40" s="16" t="n"/>
      <c r="K40" s="16" t="n"/>
      <c r="L40" s="16" t="n"/>
    </row>
    <row r="41" ht="168" customHeight="1" s="21">
      <c r="A41" s="17" t="n">
        <v>29</v>
      </c>
      <c r="B41" s="17" t="inlineStr">
        <is>
          <t>SPM-64-TC01</t>
        </is>
      </c>
      <c r="C41" s="17" t="inlineStr">
        <is>
          <t>The assigned coordinator turns registration on</t>
        </is>
      </c>
      <c r="D41" s="17" t="inlineStr">
        <is>
          <t>AC1</t>
        </is>
      </c>
      <c r="E41" s="17" t="inlineStr">
        <is>
          <t>Positive</t>
        </is>
      </c>
      <c r="F41" s="17" t="inlineStr">
        <is>
          <t>Test data loaded: ``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 the coordinator assigned to every 'SPM64 …' event.</t>
        </is>
      </c>
      <c r="G41" s="17" t="inlineStr">
        <is>
          <t>Event: SPM64 Orchard Data Forum (Planning) | Registration: off -&gt; on</t>
        </is>
      </c>
      <c r="H41" s="17" t="inlineStr">
        <is>
          <t>1. Click 'All Events' in the sidebar and open 'SPM64 Orchard Data Forum'
2. Click 'Change registration settings' on the Registration card
3. Tick 'Attendees need to register for this event'
4. Click 'Save registration settings'
5. Reload the page</t>
        </is>
      </c>
      <c r="I41" s="17" t="inlineStr">
        <is>
          <t>Step 1: The Registration card shows 'Registration: Not enabled for this event' and a 'Change registration settings' button.
Step 2: The card shows the checkbox 'Attendees need to register for this event', not ticked, and the buttons 'Save registration settings' and 'Cancel'.
Step 3: 'Registration capacity', 'Registration opens' and 'Registration closes' appear, empty.
Step 4: A green alert 'Registration settings saved.' appears. The card shows 'Registration: Enabled', 'Capacity: —', 'Measured against: —', 'Opens: —' and 'Closes: —', and an amber alert 'Registration setup is incomplete' reads 'Still needed: registration capacity, opening date, closing date.' 
Step 5: The card still shows 'Registration: Enabled'.</t>
        </is>
      </c>
      <c r="J41" s="7" t="n"/>
      <c r="K41" s="18" t="n"/>
      <c r="L41" s="7" t="n"/>
    </row>
    <row r="42" ht="138" customHeight="1" s="21">
      <c r="A42" s="17" t="n">
        <v>30</v>
      </c>
      <c r="B42" s="17" t="inlineStr">
        <is>
          <t>SPM-64-TC04</t>
        </is>
      </c>
      <c r="C42" s="17" t="inlineStr">
        <is>
          <t>Setting a capacity on an event with one booking measures it against that booking automatically</t>
        </is>
      </c>
      <c r="D42" s="17" t="inlineStr">
        <is>
          <t>AC2, AC4</t>
        </is>
      </c>
      <c r="E42" s="17" t="inlineStr">
        <is>
          <t>Positive</t>
        </is>
      </c>
      <c r="F42" s="17"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c r="G42" s="17" t="inlineStr">
        <is>
          <t>Event: SPM64 Orchard Data Forum (one approved booking: Orchard Seminar Room, Classroom, up to 70) | Registration capacity: 60</t>
        </is>
      </c>
      <c r="H42" s="17" t="inlineStr">
        <is>
          <t>1. Click 'All Events' in the sidebar and open 'SPM64 Orchard Data Forum'
2. Click 'Change registration settings' on the Registration card
3. Tick 'Attendees need to register for this event'
4. Enter 60 in 'Registration capacity'
5. Click 'Save registration settings'</t>
        </is>
      </c>
      <c r="I42" s="17" t="inlineStr">
        <is>
          <t>Step 3: 'Registration capacity' appears. There is no 'Capacity measured against' field, because the event has one booking.
Step 5: 'Registration settings saved.' appears. The card shows 'Capacity: 60' and 'Measured against: Orchard Seminar Room (ORC-SEM), Classroom layout – up to 70'.</t>
        </is>
      </c>
      <c r="J42" s="7" t="n"/>
      <c r="K42" s="18" t="n"/>
      <c r="L42" s="7" t="n"/>
    </row>
    <row r="43" ht="138" customHeight="1" s="21">
      <c r="A43" s="17" t="n">
        <v>31</v>
      </c>
      <c r="B43" s="17" t="inlineStr">
        <is>
          <t>SPM-64-TC11</t>
        </is>
      </c>
      <c r="C43" s="17" t="inlineStr">
        <is>
          <t>The registration period is set separately from the event's own date</t>
        </is>
      </c>
      <c r="D43" s="17" t="inlineStr">
        <is>
          <t>AC5</t>
        </is>
      </c>
      <c r="E43" s="17" t="inlineStr">
        <is>
          <t>Positive</t>
        </is>
      </c>
      <c r="F43" s="17"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c r="G43" s="17" t="inlineStr">
        <is>
          <t>Event: SPM64 Orchard Data Forum (18 Mar 2027, 09:00–17:00) | Opens: 1 Feb 2027, 09:00 | Closes: 10 Mar 2027, 17:00</t>
        </is>
      </c>
      <c r="H43" s="17" t="inlineStr">
        <is>
          <t>1. Click 'All Events' in the sidebar and open 'SPM64 Orchard Data Forum'
2. Click 'Change registration settings' on the Registration card
3. Tick 'Attendees need to register for this event'
4. Enter 1 Feb 2027, 09:00 in 'Registration opens'
5. Enter 10 Mar 2027, 17:00 in 'Registration closes'
6. Click 'Save registration settings'</t>
        </is>
      </c>
      <c r="I43" s="17" t="inlineStr">
        <is>
          <t>Step 1: 'When' in the Details card shows '18 Mar 2027, 09:00–17:00'.
Step 6: 'Registration settings saved.' appears. The card shows 'Opens: 1 Feb 2027, 09:00' and 'Closes: 10 Mar 2027, 17:00'. 'When' in the Details card still shows '18 Mar 2027, 09:00–17:00'.</t>
        </is>
      </c>
      <c r="J43" s="7" t="n"/>
      <c r="K43" s="18" t="n"/>
      <c r="L43" s="7" t="n"/>
    </row>
    <row r="44" ht="138" customHeight="1" s="21">
      <c r="A44" s="17" t="n">
        <v>32</v>
      </c>
      <c r="B44" s="17" t="inlineStr">
        <is>
          <t>SPM-64-TC14</t>
        </is>
      </c>
      <c r="C44" s="17" t="inlineStr">
        <is>
          <t>A registration period that has closed is reopened by moving its closing date later</t>
        </is>
      </c>
      <c r="D44" s="17" t="inlineStr">
        <is>
          <t>AC7</t>
        </is>
      </c>
      <c r="E44" s="17" t="inlineStr">
        <is>
          <t>Positive</t>
        </is>
      </c>
      <c r="F44" s="17"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c r="G44" s="17" t="inlineStr">
        <is>
          <t>Event: SPM64 Closed Registration Seminar (Confirmed, starts 10 Mar 2027, 09:00) | Closes: 30 Sept 2026, 17:00 (already past) -&gt; 28 Feb 2027, 17:00</t>
        </is>
      </c>
      <c r="H44" s="17" t="inlineStr">
        <is>
          <t>1. Click 'All Events' in the sidebar and open 'SPM64 Closed Registration Seminar'
2. Click 'Change registration settings' on the Registration card
3. Change 'Registration closes' to 28 Feb 2027, 17:00
4. Click 'Save registration settings'</t>
        </is>
      </c>
      <c r="I44" s="17" t="inlineStr">
        <is>
          <t>Step 1: The card shows 'Closes: 30 Sept 2026, 17:00', a date that has already passed.
Step 4: 'Registration settings saved.' appears. The card shows 'Opens: 1 Aug 2026, 09:00' and 'Closes: 28 Feb 2027, 17:00'. The status badge still reads 'Confirmed'.</t>
        </is>
      </c>
      <c r="J44" s="7" t="n"/>
      <c r="K44" s="18" t="n"/>
      <c r="L44" s="7" t="n"/>
    </row>
    <row r="45" ht="303" customHeight="1" s="21">
      <c r="A45" s="17" t="n">
        <v>33</v>
      </c>
      <c r="B45" s="17" t="inlineStr">
        <is>
          <t>SPM-64-TC17-R</t>
        </is>
      </c>
      <c r="C45" s="17" t="inlineStr">
        <is>
          <t>Registration that is turned off is not an outstanding arrangement</t>
        </is>
      </c>
      <c r="D45" s="17" t="inlineStr">
        <is>
          <t>AC8</t>
        </is>
      </c>
      <c r="E45" s="17" t="inlineStr">
        <is>
          <t>Positive</t>
        </is>
      </c>
      <c r="F45" s="17" t="inlineStr">
        <is>
          <t>Rewritten: the story's SPM-64-TC17 is out of date (SPM-86, SPM-87, SPM-88).
Run npm run fixtures:spm64 before and after this case. 'SPM64 Incomplete Setup Gala' is in Planning, assigned to Daniel Tan, with registration turned on and nothing else set. Logged in as Daniel Tan.</t>
        </is>
      </c>
      <c r="G45" s="17" t="inlineStr">
        <is>
          <t>Event: SPM64 Incomplete Setup Gala (Planning) | Registration: on -&gt; off</t>
        </is>
      </c>
      <c r="H45" s="17" t="inlineStr">
        <is>
          <t>1. Click 'All Events' in the sidebar and open 'SPM64 Incomplete Setup Gala'
2. Click 'Change registration settings' on the Registration card
3. Untick 'Attendees need to register for this event'
4. Click 'Save registration settings'
5. Click 'Submit for safety check'
6. Click 'Submit' in the dialog
7. Log out, then log in as hana.yusof@connectsphere.com / password123
8. Click 'Safety Checks' in the sidebar and open 'SPM64 Incomplete Setup Gala'
9. Click 'Record safety decision', choose 'Approve' and click 'Record decision'
10. Log out, then log in as daniel.tan@connectsphere.com / password123
11. Click 'All Events' in the sidebar and open 'SPM64 Incomplete Setup Gala'
12. Click 'Confirm event'
13. Click 'Confirm event' in the dialog</t>
        </is>
      </c>
      <c r="I45" s="17" t="inlineStr">
        <is>
          <t>Step 4: 'Registration settings saved.' appears and the card's Registration row reads 'Not enabled for this event'.
Step 5: A dialog 'Submit for safety check?' reads 'SPM64 Incomplete Setup Gala will move to Safety review and the Safety Officer will be notified. Anything still outstanding or flagged for review will be listed instead.'
Step 6: 'The event has been submitted for a safety check. The Safety Officer has been notified.' is shown and the status badge reads 'Safety review'.
Step 9: 'Safety check approved. The coordinator has been notified.' is shown and the status badge reads 'Safety approved'.
Step 11: The status badge reads 'Safety approved' and the 'Confirm event' button is shown.
Step 12: A dialog 'Confirm this event?' reads 'SPM64 Incomplete Setup Gala will be marked Confirmed, and the organiser will be able to see the venue and equipment arranged for it. Anything still outstanding will be listed instead.'
Step 13: 'The event is confirmed. The organiser can now see the arrangements.' is shown and the status badge reads 'Confirmed'.</t>
        </is>
      </c>
      <c r="J45" s="7" t="n"/>
      <c r="K45" s="18" t="n"/>
      <c r="L45" s="7" t="n"/>
    </row>
    <row r="46" ht="138" customHeight="1" s="21">
      <c r="A46" s="17" t="n">
        <v>34</v>
      </c>
      <c r="B46" s="17" t="inlineStr">
        <is>
          <t>SPM-64-TC19</t>
        </is>
      </c>
      <c r="C46" s="17" t="inlineStr">
        <is>
          <t>Lowering the capacity below the attendees holding a place saves it and flags the registrations</t>
        </is>
      </c>
      <c r="D46" s="17" t="inlineStr">
        <is>
          <t>AC9</t>
        </is>
      </c>
      <c r="E46" s="17" t="inlineStr">
        <is>
          <t>Positive</t>
        </is>
      </c>
      <c r="F46" s="17"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c r="G46" s="17" t="inlineStr">
        <is>
          <t>Event: SPM64 Full House Masterclass | 12 registered, 3 waitlisted, 2 withdrawn (15 hold a place) | Capacity: 20 -&gt; 14</t>
        </is>
      </c>
      <c r="H46" s="17" t="inlineStr">
        <is>
          <t>1. Click 'All Events' in the sidebar and open 'SPM64 Full House Masterclass'
2. Click 'Change registration settings' on the Registration card
3. Change 'Registration capacity' to 14
4. Click 'Save registration settings'</t>
        </is>
      </c>
      <c r="I46" s="17" t="inlineStr">
        <is>
          <t>Step 4: 'Registration settings saved.' appears with a 'Flagged for review' list holding one line: 'Registrations: 15 attendees – the registration capacity was lowered below the number registered or waitlisted'. The card shows 'Capacity: 14'.</t>
        </is>
      </c>
      <c r="J46" s="7" t="n"/>
      <c r="K46" s="18" t="n"/>
      <c r="L46" s="7" t="n"/>
    </row>
    <row r="47" ht="123" customHeight="1" s="21">
      <c r="A47" s="17" t="n">
        <v>35</v>
      </c>
      <c r="B47" s="17" t="inlineStr">
        <is>
          <t>SPM-64-TC23</t>
        </is>
      </c>
      <c r="C47" s="17" t="inlineStr">
        <is>
          <t>The organiser and a colleague from their company see the settings but can't change them</t>
        </is>
      </c>
      <c r="D47" s="17" t="inlineStr">
        <is>
          <t>AC10</t>
        </is>
      </c>
      <c r="E47" s="17" t="inlineStr">
        <is>
          <t>Positive</t>
        </is>
      </c>
      <c r="F47" s="17" t="inlineStr">
        <is>
          <t>Test data loaded: `npm run fixtures:spm64` has been run from the project folder since the last full `npx prisma db seed` (it only touches the 'SPM64 …' events, never anyone else's data).
Nothing is saved in this case.
Start logged in as Evelyn Chen (evelyn.chen@straitsmedic.com / password123), who organised every 'SPM64 …' event.</t>
        </is>
      </c>
      <c r="G47" s="17" t="inlineStr">
        <is>
          <t>Events: SPM64 Twin Room Workshop (registration off), SPM64 Closed Registration Seminar (on, capacity 50, 1 Aug 2026 09:00 – 30 Sept 2026 17:00) | Organiser: Evelyn Chen | Colleague: Raj Kumar (Straits Medical Institute)</t>
        </is>
      </c>
      <c r="H47" s="17" t="inlineStr">
        <is>
          <t>1. Click 'My Events' in the sidebar and open 'SPM64 Twin Room Workshop'
2. Click 'My Events' in the sidebar and open 'SPM64 Closed Registration Seminar'
3. Log out and log in as Raj Kumar (raj.kumar@straitsmedic.com / password123), from the same company
4. Click 'My Events' in the sidebar and open 'SPM64 Closed Registration Seminar'</t>
        </is>
      </c>
      <c r="I47" s="17" t="inlineStr">
        <is>
          <t>Step 1: The Registration card shows 'Registration: Not enabled for this event' and no 'Change registration settings' button.
Step 2: The card shows 'Registration: Enabled', 'Capacity: 50', 'Measured against: Orchard Seminar Room (ORC-SEM), Classroom layout – up to 70', 'Opens: 1 Aug 2026, 09:00' and 'Closes: 30 Sept 2026, 17:00', with no 'Change registration settings' button.
Step 4: The same values as in step 2, with no 'Change registration settings' button.</t>
        </is>
      </c>
      <c r="J47" s="7" t="n"/>
      <c r="K47" s="18" t="n"/>
      <c r="L47" s="7" t="n"/>
    </row>
    <row r="48" ht="20" customHeight="1" s="21">
      <c r="A48" s="6" t="inlineStr">
        <is>
          <t>SPM-65  View Registration List  -  run npm run fixtures:spm65 before its first case</t>
        </is>
      </c>
      <c r="B48" s="16" t="n"/>
      <c r="C48" s="16" t="n"/>
      <c r="D48" s="16" t="n"/>
      <c r="E48" s="16" t="n"/>
      <c r="F48" s="16" t="n"/>
      <c r="G48" s="16" t="n"/>
      <c r="H48" s="16" t="n"/>
      <c r="I48" s="16" t="n"/>
      <c r="J48" s="16" t="n"/>
      <c r="K48" s="16" t="n"/>
      <c r="L48" s="16" t="n"/>
    </row>
    <row r="49" ht="213" customHeight="1" s="21">
      <c r="A49" s="17" t="n">
        <v>36</v>
      </c>
      <c r="B49" s="17" t="inlineStr">
        <is>
          <t>SPM-65-TC01</t>
        </is>
      </c>
      <c r="C49" s="17" t="inlineStr">
        <is>
          <t>The organiser responsible for a full event sees every attendee with their contact details, status and registration date, who was added on their behalf, and the places taken against the waiting list</t>
        </is>
      </c>
      <c r="D49" s="17" t="inlineStr">
        <is>
          <t>AC1, AC2, AC3, AC4, AC5</t>
        </is>
      </c>
      <c r="E49" s="17" t="inlineStr">
        <is>
          <t>Positive</t>
        </is>
      </c>
      <c r="F49" s="17" t="inlineStr">
        <is>
          <t>Test data loaded: `npm run fixtures:spm65` has been run from the project folder since the last full `npx prisma db seed` (it only touches the 'SPM65 …' events, never anyone else's data).
Logged in as Evelyn Chen (evelyn.chen@straitsmedic.com / password123), who organised every 'SPM65 …' event.
Nothing is saved in this case.</t>
        </is>
      </c>
      <c r="G49" s="17" t="inlineStr">
        <is>
          <t>Event: SPM65 Harbourfront Seminar (capacity 3) | Registered: Marcus Yeo, Anita Devi (added by Evelyn Chen), Tom Harris | Waiting list: Siti Nurhaliza | Withdrawn: Farhan Ismail</t>
        </is>
      </c>
      <c r="H49" s="17" t="inlineStr">
        <is>
          <t>1. Click 'My Events' in the sidebar
2. Click 'SPM65 Harbourfront Seminar' in the list
3. Click the 'Attendees' tab</t>
        </is>
      </c>
      <c r="I49" s="17" t="inlineStr">
        <is>
          <t>Step 2: The event page opens with the heading 'SPM65 Harbourfront Seminar' and the tabs 'Overview', 'Equipment' and 'Attendees'.
Step 3: The Attendees page opens with the 'Attendees' tab selected. Above the table it says '3 of 3 places taken · 1 on the waiting list' (the withdrawn and waiting-list attendees are not counted as places taken). The table has the columns 'Attendee', 'Contact', 'Status' and 'Registered', and five rows, oldest first: Marcus Yeo, marcus.yeo@example.com, green 'Registered', 1 Oct 2026, 10:00; Farhan Ismail, farhan.ismail@example.com, grey 'Withdrawn', 1 Oct 2026, 16:00 with 'Withdrew 6 Oct 2026, 12:00' under it; Anita Devi with 'Added by Evelyn Chen' under her name, anita.devi@example.com, green 'Registered', 2 Oct 2026, 14:30; Tom Harris, tom.harris@example.com, green 'Registered', 3 Oct 2026, 09:15; Siti Nurhaliza, siti.nurhaliza@example.com, amber 'Waiting list', 5 Oct 2026, 11:00. No row except Anita Devi's has an 'Added by' line.</t>
        </is>
      </c>
      <c r="J49" s="7" t="n"/>
      <c r="K49" s="18" t="n"/>
      <c r="L49" s="7" t="n"/>
    </row>
    <row r="50" ht="258" customHeight="1" s="21">
      <c r="A50" s="17" t="n">
        <v>37</v>
      </c>
      <c r="B50" s="17" t="inlineStr">
        <is>
          <t>SPM-65-TC04</t>
        </is>
      </c>
      <c r="C50" s="17" t="inlineStr">
        <is>
          <t>The open list shows a new registration and then its withdrawal within 15 seconds, without refreshing the page</t>
        </is>
      </c>
      <c r="D50" s="17" t="inlineStr">
        <is>
          <t>AC6, AC5</t>
        </is>
      </c>
      <c r="E50" s="17" t="inlineStr">
        <is>
          <t>Positive</t>
        </is>
      </c>
      <c r="F50" s="17" t="inlineStr">
        <is>
          <t>Before and after: run `npm run fixtures:spm65` (never `npx prisma db seed`, which wipes everyone's data).
Two browser windows: a normal one, and a private (incognito) one, so the two logins don't replace each other.
In the normal window, logged in as Evelyn Chen (evelyn.chen@straitsmedic.com / password123).</t>
        </is>
      </c>
      <c r="G50" s="17" t="inlineStr">
        <is>
          <t>Event: SPM65 Live Update Workshop (capacity 5, nobody registered) | Organiser: Evelyn Chen | Attendee: Marcus Yeo</t>
        </is>
      </c>
      <c r="H50" s="17" t="inlineStr">
        <is>
          <t>1. In the normal window, click 'My Events' in the sidebar
2. Click 'SPM65 Live Update Workshop' in the list
3. Click the 'Attendees' tab, and leave this window open on it without refreshing
4. In another window, go to the site (e.g. http://localhost:3000) and log in as Marcus Yeo (marcus.yeo@example.com / password123), an Attendee
5. Click 'Browse Events' in the sidebar
6. Click 'SPM65 Live Update Workshop'
7. Click 'Register' in the 'Your registration' card
8. Switch to the normal window and wait up to 15 seconds, without refreshing
9. Switch to the other window and click 'Withdraw' in the 'Your registration' card
10. Click 'Withdraw' in the dialog
11. Switch to the normal window and wait up to 15 seconds, without refreshing</t>
        </is>
      </c>
      <c r="I50" s="17" t="inlineStr">
        <is>
          <t>Step 3: The Attendees page says '0 of 5 places taken · 0 on the waiting list' and 'No one has registered yet'.
Step 7: A green message says 'You're registered for this event.'
Step 8: Without a refresh, the list now has one row, Marcus Yeo, marcus.yeo@example.com, with the badge 'Registered' and today's date and time, and it says '1 of 5 places taken · 0 on the waiting list'.
Step 10: The dialog closes and a green message says 'You have withdrawn from this event.'
Step 11: Without a refresh, Marcus Yeo's badge is now 'Withdrawn' with a 'Withdrew' line giving today's date and time, and it says '0 of 5 places taken · 0 on the waiting list'.</t>
        </is>
      </c>
      <c r="J50" s="7" t="n"/>
      <c r="K50" s="18" t="n"/>
      <c r="L50" s="7" t="n"/>
    </row>
    <row r="51" ht="93" customHeight="1" s="21">
      <c r="A51" s="17" t="n">
        <v>38</v>
      </c>
      <c r="B51" s="17" t="inlineStr">
        <is>
          <t>SPM-65-TC05</t>
        </is>
      </c>
      <c r="C51" s="17" t="inlineStr">
        <is>
          <t>When registration is not enabled, the list says so instead of showing an empty list</t>
        </is>
      </c>
      <c r="D51" s="17" t="inlineStr">
        <is>
          <t>AC7</t>
        </is>
      </c>
      <c r="E51" s="17" t="inlineStr">
        <is>
          <t>Positive</t>
        </is>
      </c>
      <c r="F51" s="17" t="inlineStr">
        <is>
          <t>Test data loaded: `npm run fixtures:spm65` has been run since the last full `npx prisma db seed`.
Logged in as Evelyn Chen (evelyn.chen@straitsmedic.com / password123).
Nothing is saved in this case.</t>
        </is>
      </c>
      <c r="G51" s="17" t="inlineStr">
        <is>
          <t>Event: SPM65 Closed Doors Gala (registration not enabled, no registrations)</t>
        </is>
      </c>
      <c r="H51" s="17" t="inlineStr">
        <is>
          <t>1. Click 'My Events' in the sidebar
2. Click 'SPM65 Closed Doors Gala' in the list
3. Click the 'Attendees' tab</t>
        </is>
      </c>
      <c r="I51" s="17" t="inlineStr">
        <is>
          <t>Step 3: A blue message says 'Registration is not enabled for this event' and 'Attendees can't register until the coordinator turns registration on.' There is no table, no 'No one has registered yet' message, and no '… places taken' line.</t>
        </is>
      </c>
      <c r="J51" s="7" t="n"/>
      <c r="K51" s="18" t="n"/>
      <c r="L51" s="7" t="n"/>
    </row>
    <row r="52" ht="20" customHeight="1" s="21">
      <c r="A52" s="6" t="inlineStr">
        <is>
          <t>SPM-57  Manually Add Attendee  -  run npm run fixtures:spm57 before its first case</t>
        </is>
      </c>
      <c r="B52" s="16" t="n"/>
      <c r="C52" s="16" t="n"/>
      <c r="D52" s="16" t="n"/>
      <c r="E52" s="16" t="n"/>
      <c r="F52" s="16" t="n"/>
      <c r="G52" s="16" t="n"/>
      <c r="H52" s="16" t="n"/>
      <c r="I52" s="16" t="n"/>
      <c r="J52" s="16" t="n"/>
      <c r="K52" s="16" t="n"/>
      <c r="L52" s="16" t="n"/>
    </row>
    <row r="53" ht="198" customHeight="1" s="21">
      <c r="A53" s="17" t="n">
        <v>39</v>
      </c>
      <c r="B53" s="17" t="inlineStr">
        <is>
          <t>SPM-57-TC01</t>
        </is>
      </c>
      <c r="C53" s="17" t="inlineStr">
        <is>
          <t>The assigned coordinator adds a VIP with dietary and accessibility requirements to an event whose self-service registration is full</t>
        </is>
      </c>
      <c r="D53" s="17" t="inlineStr">
        <is>
          <t>AC1, AC2</t>
        </is>
      </c>
      <c r="E53" s="17" t="inlineStr">
        <is>
          <t>Positive</t>
        </is>
      </c>
      <c r="F53" s="17" t="inlineStr">
        <is>
          <t>THIS RUN: SPM-57-TC02 is not selected. Skip it, and run the fixture script once the selected cases that follow on from this one are done.
Run npm run fixtures:spm57 before and after this case (it adds a registration); if SPM-57-TC02 is run next, reset after that one instead.
'SPM57 VIP Gala Dinner' is Confirmed, its registration capacity is 3 and 3 attendees are registered, so attendees can no longer register themselves. It is booked in SPM57 Hall (SPM57-HAL), Theatre layout, which seats 60.
Logged in as Daniel Tan (daniel.tan@connectsphere.com / password123), its assigned coordinator.</t>
        </is>
      </c>
      <c r="G53" s="17" t="inlineStr">
        <is>
          <t>Event: SPM57 VIP Gala Dinner (registration capacity 3, venue capacity 60) | Attendee: lee.wei.ming@example.com (Lee Wei Ming) | Dietary requirements: Vegetarian | Accessibility requirements: Wheelchair access</t>
        </is>
      </c>
      <c r="H53" s="17" t="inlineStr">
        <is>
          <t>1. Click 'All Events' in the sidebar and open 'SPM57 VIP Gala Dinner'
2. Click the 'Attendees' tab
3. Click 'Add attendee'
4. Type lee.wei.ming@example.com in 'Attendee email'
5. Type Vegetarian in 'Dietary requirements'
6. Type Wheelchair access in 'Accessibility requirements'
7. Click 'Add attendee' in the form</t>
        </is>
      </c>
      <c r="I53" s="17" t="inlineStr">
        <is>
          <t>Step 2: The Attendees page reads '3 of 3 places taken · 1 on the waiting list' and 'Venue capacity: 60 · SPM57 Hall (SPM57-HAL), Theatre layout', and has an 'Add attendee' button.
Step 3: A form 'Add an attendee' opens with the fields 'Attendee email', 'Dietary requirements' (Optional.) and 'Accessibility requirements' (Optional.), and the buttons 'Add attendee' and 'Cancel'.
Step 7: The form closes. A green alert reads 'Lee Wei Ming has been added to the registration list.' The line reads '4 of 3 places taken · 1 on the waiting list'. The last row of the table is Lee Wei Ming with 'Added by Daniel Tan', 'Dietary: Vegetarian' and 'Accessibility: Wheelchair access' under the name, lee.wei.ming@example.com, a green 'Registered' badge and today's date and time.</t>
        </is>
      </c>
      <c r="J53" s="7" t="n"/>
      <c r="K53" s="18" t="n"/>
      <c r="L53" s="7" t="n"/>
    </row>
    <row r="54" ht="93" customHeight="1" s="21">
      <c r="A54" s="17" t="n">
        <v>40</v>
      </c>
      <c r="B54" s="17" t="inlineStr">
        <is>
          <t>SPM-57-TC03</t>
        </is>
      </c>
      <c r="C54" s="17" t="inlineStr">
        <is>
          <t>Adding an attendee who had withdrawn registers them again, as registering again themselves would</t>
        </is>
      </c>
      <c r="D54" s="17" t="inlineStr">
        <is>
          <t>AC1, AC4</t>
        </is>
      </c>
      <c r="E54" s="17" t="inlineStr">
        <is>
          <t>Positive</t>
        </is>
      </c>
      <c r="F54" s="17" t="inlineStr">
        <is>
          <t>Run npm run fixtures:spm57 before and after this case (it changes a registration).
Anita Devi registered for 'SPM57 VIP Gala Dinner' and withdrew on 6 Oct 2026.
Logged in as Daniel Tan (daniel.tan@connectsphere.com / password123).</t>
        </is>
      </c>
      <c r="G54" s="17" t="inlineStr">
        <is>
          <t>Event: SPM57 VIP Gala Dinner | Attendee: anita.devi@example.com (Anita Devi, withdrawn)</t>
        </is>
      </c>
      <c r="H54" s="17" t="inlineStr">
        <is>
          <t>1. Click 'All Events' in the sidebar and open 'SPM57 VIP Gala Dinner'
2. Click the 'Attendees' tab
3. Click 'Add attendee'
4. Type anita.devi@example.com in 'Attendee email'
5. Click 'Add attendee' in the form</t>
        </is>
      </c>
      <c r="I54" s="17" t="inlineStr">
        <is>
          <t>Step 2: Anita Devi's row has a grey 'Withdrawn' badge and 'Withdrew 6 Oct 2026, 12:00' under its date.
Step 5: A green alert reads 'Anita Devi has been added to the registration list.' The line reads '4 of 3 places taken · 1 on the waiting list'. Anita Devi is listed once, now last, with 'Added by Daniel Tan', a green 'Registered' badge, today's date and time, and no 'Withdrew' line.</t>
        </is>
      </c>
      <c r="J54" s="7" t="n"/>
      <c r="K54" s="18" t="n"/>
      <c r="L54" s="7" t="n"/>
    </row>
    <row r="55" ht="153" customHeight="1" s="21">
      <c r="A55" s="17" t="n">
        <v>41</v>
      </c>
      <c r="B55" s="17" t="inlineStr">
        <is>
          <t>SPM-57-TC06</t>
        </is>
      </c>
      <c r="C55" s="17" t="inlineStr">
        <is>
          <t>The organiser sees an attendee the coordinator added on their behalf, with the requirements recorded, and cannot add attendees</t>
        </is>
      </c>
      <c r="D55" s="17" t="inlineStr">
        <is>
          <t>AC5, AC1</t>
        </is>
      </c>
      <c r="E55" s="17" t="inlineStr">
        <is>
          <t>Positive</t>
        </is>
      </c>
      <c r="F55" s="17" t="inlineStr">
        <is>
          <t>Test data loaded: npm run fixtures:spm57 has been run, and SPM-57-TC07 has not been run since.
On 'SPM57 Salon Briefing', Daniel Tan added Jocelyn Pang on 3 Oct 2026 with the dietary requirement 'Halal' and the accessibility requirement 'Hearing loop'.
Logged in as Evelyn Chen (evelyn.chen@straitsmedic.com / password123), who organised every 'SPM57 …' event.
Nothing is saved in this case.</t>
        </is>
      </c>
      <c r="G55" s="17" t="inlineStr">
        <is>
          <t>Event: SPM57 Salon Briefing | Added by Daniel Tan: Jocelyn Pang (Halal, Hearing loop)</t>
        </is>
      </c>
      <c r="H55" s="17" t="inlineStr">
        <is>
          <t>1. Click 'My Events' in the sidebar and open 'SPM57 Salon Briefing'
2. Click the 'Attendees' tab</t>
        </is>
      </c>
      <c r="I55" s="17" t="inlineStr">
        <is>
          <t>Step 2: The page reads '3 of 2 places taken · 1 on the waiting list' and 'Venue capacity: 4 · SPM57 Salon (SPM57-SAL), Theatre layout'. The rows, oldest first, are Marcus Yeo, Tom Harris, Jocelyn Pang and Siti Nurhaliza. Only Jocelyn Pang's row has 'Added by Daniel Tan', with 'Dietary: Halal' and 'Accessibility: Hearing loop' under her name and a green 'Registered' badge. There is no 'Add attendee' button.</t>
        </is>
      </c>
      <c r="J55" s="7" t="n"/>
      <c r="K55" s="18" t="n"/>
      <c r="L55" s="7" t="n"/>
    </row>
    <row r="56" ht="153" customHeight="1" s="21">
      <c r="A56" s="17" t="n">
        <v>42</v>
      </c>
      <c r="B56" s="17" t="inlineStr">
        <is>
          <t>SPM-57-TC07</t>
        </is>
      </c>
      <c r="C56" s="17" t="inlineStr">
        <is>
          <t>An attendee can be added until the registered attendees reach the venue's capacity, and the next one is refused</t>
        </is>
      </c>
      <c r="D56" s="17" t="inlineStr">
        <is>
          <t>AC3, AC2</t>
        </is>
      </c>
      <c r="E56" s="17" t="inlineStr">
        <is>
          <t>Boundary</t>
        </is>
      </c>
      <c r="F56" s="17" t="inlineStr">
        <is>
          <t>Run npm run fixtures:spm57 before and after this case (it adds a registration).
'SPM57 Salon Briefing' is booked in SPM57 Salon (SPM57-SAL), Theatre layout, which seats 4. Its registration capacity is 2. 3 attendees are registered (2 registered themselves, 1 was added by Daniel Tan) and 1 is on the waiting list, who does not count.
Logged in as Daniel Tan (daniel.tan@connectsphere.com / password123).</t>
        </is>
      </c>
      <c r="G56" s="17" t="inlineStr">
        <is>
          <t>Event: SPM57 Salon Briefing (venue capacity 4, 3 registered, 1 waiting) | Attendees: lee.wei.ming@example.com (4th, fits), ravi.subramaniam@example.com (5th, refused)</t>
        </is>
      </c>
      <c r="H56" s="17" t="inlineStr">
        <is>
          <t>1. Click 'All Events' in the sidebar and open 'SPM57 Salon Briefing'
2. Click the 'Attendees' tab
3. Click 'Add attendee'
4. Type lee.wei.ming@example.com in 'Attendee email'
5. Click 'Add attendee' in the form
6. Click 'Add attendee'
7. Type ravi.subramaniam@example.com in 'Attendee email'
8. Click 'Add attendee' in the form</t>
        </is>
      </c>
      <c r="I56" s="17" t="inlineStr">
        <is>
          <t>Step 2: The page reads '3 of 2 places taken · 1 on the waiting list' and 'Venue capacity: 4 · SPM57 Salon (SPM57-SAL), Theatre layout'.
Step 5: A green alert reads 'Lee Wei Ming has been added to the registration list.' The line reads '4 of 2 places taken · 1 on the waiting list'.
Step 8: A red alert in the form reads 'This event has reached its venue capacity: 4 attendees in SPM57 Salon (SPM57-SAL), Theatre layout. No more attendees can be added.' The form stays open, Ravi Subramaniam is not in the table, and the line still reads '4 of 2 places taken · 1 on the waiting list'.</t>
        </is>
      </c>
      <c r="J56" s="7" t="n"/>
      <c r="K56" s="18" t="n"/>
      <c r="L56" s="7" t="n"/>
    </row>
  </sheetData>
  <conditionalFormatting sqref="J5:J56">
    <cfRule type="cellIs" priority="1" operator="equal" dxfId="0">
      <formula>"Pass"</formula>
    </cfRule>
    <cfRule type="cellIs" priority="2" operator="equal" dxfId="1">
      <formula>"Fail"</formula>
    </cfRule>
    <cfRule type="cellIs" priority="3" operator="equal" dxfId="2">
      <formula>"Changed by design"</formula>
    </cfRule>
    <cfRule type="cellIs" priority="4" operator="equal" dxfId="3">
      <formula>"Blocked"</formula>
    </cfRule>
  </conditionalFormatting>
  <dataValidations count="1">
    <dataValidation sqref="J5:J56" showDropDown="0" showInputMessage="0" showErrorMessage="0" allowBlank="1" type="list">
      <formula1>"Pass,Fail,Changed by design,Blocked"</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L56"/>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5" customWidth="1" style="21" min="1" max="1"/>
    <col width="15" customWidth="1" style="21" min="2" max="2"/>
    <col width="34" customWidth="1" style="21" min="3" max="3"/>
    <col width="10" customWidth="1" style="21" min="4" max="5"/>
    <col width="13" customWidth="1" style="21" min="5" max="5"/>
    <col width="46" customWidth="1" style="21" min="6" max="6"/>
    <col width="30" customWidth="1" style="21" min="7" max="7"/>
    <col width="58" customWidth="1" style="21" min="8" max="8"/>
    <col width="72" customWidth="1" style="21" min="9" max="9"/>
    <col width="18" customWidth="1" style="21" min="10" max="10"/>
    <col width="12" customWidth="1" style="21" min="11" max="11"/>
    <col width="34" customWidth="1" style="21" min="12" max="12"/>
    <col width="8.710000000000001" customWidth="1" style="21" min="13" max="26"/>
  </cols>
  <sheetData>
    <row r="1">
      <c r="A1" s="1" t="inlineStr">
        <is>
          <t>Kristen's cases: Equipment, the safety check and change requests</t>
        </is>
      </c>
    </row>
    <row r="2">
      <c r="A2" s="2" t="inlineStr">
        <is>
          <t>Run top to bottom. A blue row starts each story: run its fixture script first (never npx prisma db seed). READ FIRST at the top of Preconditions says what has changed since the case was written. IDs ending in -R were rewritten in the Sprint 3 run and are reused here. Fill in the yellow Result, Date tested and Notes cells.</t>
        </is>
      </c>
    </row>
    <row r="4">
      <c r="A4" s="3" t="inlineStr">
        <is>
          <t>#</t>
        </is>
      </c>
      <c r="B4" s="3" t="inlineStr">
        <is>
          <t>Test case ID</t>
        </is>
      </c>
      <c r="C4" s="3" t="inlineStr">
        <is>
          <t>Title</t>
        </is>
      </c>
      <c r="D4" s="3" t="inlineStr">
        <is>
          <t>Linked AC</t>
        </is>
      </c>
      <c r="E4" s="3" t="inlineStr">
        <is>
          <t>Type</t>
        </is>
      </c>
      <c r="F4" s="3" t="inlineStr">
        <is>
          <t>Preconditions</t>
        </is>
      </c>
      <c r="G4" s="3" t="inlineStr">
        <is>
          <t>Test data</t>
        </is>
      </c>
      <c r="H4" s="3" t="inlineStr">
        <is>
          <t>Steps</t>
        </is>
      </c>
      <c r="I4" s="3" t="inlineStr">
        <is>
          <t>Expected results</t>
        </is>
      </c>
      <c r="J4" s="3" t="inlineStr">
        <is>
          <t>Result</t>
        </is>
      </c>
      <c r="K4" s="3" t="inlineStr">
        <is>
          <t>Date tested</t>
        </is>
      </c>
      <c r="L4" s="3" t="inlineStr">
        <is>
          <t>Notes / bug key</t>
        </is>
      </c>
    </row>
    <row r="5" ht="20" customHeight="1" s="21">
      <c r="A5" s="6" t="inlineStr">
        <is>
          <t>SPM-47  Record Equipment Requirements  -  no fixture script: uses the base seed data</t>
        </is>
      </c>
      <c r="B5" s="16" t="n"/>
      <c r="C5" s="16" t="n"/>
      <c r="D5" s="16" t="n"/>
      <c r="E5" s="16" t="n"/>
      <c r="F5" s="16" t="n"/>
      <c r="G5" s="16" t="n"/>
      <c r="H5" s="16" t="n"/>
      <c r="I5" s="16" t="n"/>
      <c r="J5" s="16" t="n"/>
      <c r="K5" s="16" t="n"/>
      <c r="L5" s="16" t="n"/>
    </row>
    <row r="6" ht="123" customHeight="1" s="21">
      <c r="A6" s="17" t="n">
        <v>1</v>
      </c>
      <c r="B6" s="17" t="inlineStr">
        <is>
          <t>SPM-47-TC01</t>
        </is>
      </c>
      <c r="C6" s="17" t="inlineStr">
        <is>
          <t>Coordinator records an equipment requirement with a type, quantity, and technical requirements</t>
        </is>
      </c>
      <c r="D6" s="17" t="inlineStr">
        <is>
          <t>AC1, AC2, AC3</t>
        </is>
      </c>
      <c r="E6" s="17" t="inlineStr">
        <is>
          <t>Positive</t>
        </is>
      </c>
      <c r="F6" s="17" t="inlineStr">
        <is>
          <t>Logged in as Hui Shan Neo (huishan.neo@connectsphere.com / password123), the Coordinator assigned to 'Pearl Delta Safety Conference' (status Planning, 4 Dec 2026 09:00-17:00, organised by Samuel Ong).
The event already has one requirement: '4K Portable Projector', Quantity 4.</t>
        </is>
      </c>
      <c r="G6" s="17" t="inlineStr">
        <is>
          <t>Equipment: Handheld Wireless Mic | Quantity: 6 | Technical requirements: Lapel mics for panel speakers.</t>
        </is>
      </c>
      <c r="H6" s="17" t="inlineStr">
        <is>
          <t>1. Open 'Pearl Delta Safety Conference'
2. Click the 'Equipment' tab
3. In 'Add equipment', open the 'Equipment' dropdown and choose 'Handheld Wireless Mic'
4. Set 'Quantity' to 6
5. Enter 'Lapel mics for panel speakers.' in 'Technical requirements'
6. Click 'Add'</t>
        </is>
      </c>
      <c r="I6" s="17" t="inlineStr">
        <is>
          <t>A new row for 'Handheld Wireless Mic' appears showing Quantity 6 and 'Lapel mics for panel speakers.', with status 'Requested'.
The existing '4K Portable Projector' row (Quantity 4) is unchanged.
The Add equipment fields reset to their defaults.</t>
        </is>
      </c>
      <c r="J6" s="7" t="n"/>
      <c r="K6" s="13" t="n"/>
      <c r="L6" s="7" t="n"/>
    </row>
    <row r="7" ht="183" customHeight="1" s="21">
      <c r="A7" s="17" t="n">
        <v>2</v>
      </c>
      <c r="B7" s="17" t="inlineStr">
        <is>
          <t>SPM-47-TC14</t>
        </is>
      </c>
      <c r="C7" s="17" t="inlineStr">
        <is>
          <t>Organiser sees the same requirements read-only and cannot edit them</t>
        </is>
      </c>
      <c r="D7" s="17" t="inlineStr">
        <is>
          <t>AC6, AC7</t>
        </is>
      </c>
      <c r="E7" s="17" t="inlineStr">
        <is>
          <t>Positive</t>
        </is>
      </c>
      <c r="F7" s="17" t="inlineStr">
        <is>
          <t>Logged in as Samuel Ong (samuel.ong@pearldeltama.com / password123), the Organiser of 'Pearl Delta Safety Conference'.
The event has a requirement for '4K Portable Projector', Quantity 4.
Note: this is broader than AC6's literal wording ('Technical Support Staff can view the requirements') — the Organiser also gets read-only visibility into their own event's equipment, because they reasonably want to see what's been recorded against the event they raised (see canViewEquipmentRequests in src/lib/permissions.ts).</t>
        </is>
      </c>
      <c r="G7" s="17" t="inlineStr">
        <is>
          <t>Role: Organiser</t>
        </is>
      </c>
      <c r="H7" s="17" t="inlineStr">
        <is>
          <t>1. Open 'Pearl Delta Safety Conference' from 'My Events'
2. Click the 'Equipment' tab</t>
        </is>
      </c>
      <c r="I7" s="17" t="inlineStr">
        <is>
          <t>The '4K Portable Projector' row is visible with its quantity and technical requirements shown as plain text (not an input field of any kind).
There is no editable Quantity or Technical requirements field, no 'Save' or 'Remove' button, and no 'Add equipment' section.</t>
        </is>
      </c>
      <c r="J7" s="7" t="n"/>
      <c r="K7" s="13" t="n"/>
      <c r="L7" s="7" t="n"/>
    </row>
    <row r="8" ht="138" customHeight="1" s="21">
      <c r="A8" s="17" t="n">
        <v>3</v>
      </c>
      <c r="B8" s="17" t="inlineStr">
        <is>
          <t>SPM-47-TC17</t>
        </is>
      </c>
      <c r="C8" s="17" t="inlineStr">
        <is>
          <t>Coordinator scopes equipment requirements to individual sessions of a multi-session event</t>
        </is>
      </c>
      <c r="D8" s="17" t="inlineStr">
        <is>
          <t>AC4, AC5</t>
        </is>
      </c>
      <c r="E8" s="17" t="inlineStr">
        <is>
          <t>Positive</t>
        </is>
      </c>
      <c r="F8" s="17" t="inlineStr">
        <is>
          <t>Logged in as Hui Shan Neo (huishan.neo@connectsphere.com / password123), Coordinator of 'Pearl Delta Safety Conference'.
The event has two sessions: 'Morning briefing' (09:00-12:00) and 'Afternoon workshop' (13:00-17:00) — there is no in-app way to add a session yet (EventSession is schema-only groundwork from a separate story, SPM-25), so these were created directly in the database for this test.</t>
        </is>
      </c>
      <c r="G8" s="17" t="inlineStr">
        <is>
          <t>Session dropdown options: Whole event, Morning briefing, Afternoon workshop | Row 1: Gooseneck Table Mic / Morning briefing | Row 2: Powered Speaker / Afternoon workshop</t>
        </is>
      </c>
      <c r="H8" s="17" t="inlineStr">
        <is>
          <t>1. Open the 'Equipment' tab of 'Pearl Delta Safety Conference'
2. In 'Add equipment', choose 'Gooseneck Table Mic', set Quantity to 1, and choose 'Morning briefing' in the new 'Session' dropdown
3. Click 'Add'
4. Choose 'Powered Speaker', set Quantity to 2, and choose 'Afternoon workshop' in 'Session'
5. Click 'Add'</t>
        </is>
      </c>
      <c r="I8" s="17" t="inlineStr">
        <is>
          <t>Both rows are added, each showing a small label naming its session ('Morning briefing' / 'Afternoon workshop') next to the equipment name.
Each requirement is independent — Technical Support reviewing 'Afternoon workshop' sees only the Powered Speaker request, not the Gooseneck Table Mic one.</t>
        </is>
      </c>
      <c r="J8" s="7" t="n"/>
      <c r="K8" s="13" t="n"/>
      <c r="L8" s="7" t="n"/>
    </row>
    <row r="9" ht="20" customHeight="1" s="21">
      <c r="A9" s="6" t="inlineStr">
        <is>
          <t>SPM-48  Check Equipment Availability  -  no fixture script: uses the base seed data</t>
        </is>
      </c>
      <c r="B9" s="16" t="n"/>
      <c r="C9" s="16" t="n"/>
      <c r="D9" s="16" t="n"/>
      <c r="E9" s="16" t="n"/>
      <c r="F9" s="16" t="n"/>
      <c r="G9" s="16" t="n"/>
      <c r="H9" s="16" t="n"/>
      <c r="I9" s="16" t="n"/>
      <c r="J9" s="16" t="n"/>
      <c r="K9" s="16" t="n"/>
      <c r="L9" s="16" t="n"/>
    </row>
    <row r="10" ht="183" customHeight="1" s="21">
      <c r="A10" s="17" t="n">
        <v>4</v>
      </c>
      <c r="B10" s="17" t="inlineStr">
        <is>
          <t>SPM-48-TC14</t>
        </is>
      </c>
      <c r="C10" s="17" t="inlineStr">
        <is>
          <t>Two events on the same day can both be supported when stock covers both</t>
        </is>
      </c>
      <c r="D10" s="17" t="inlineStr">
        <is>
          <t>AC4, AC5</t>
        </is>
      </c>
      <c r="E10" s="17" t="inlineStr">
        <is>
          <t>Positive</t>
        </is>
      </c>
      <c r="F10" s="17" t="inlineStr">
        <is>
          <t>'Stage Wash Light': 2 total, 0 in maintenance.
Event 'Morning Workshop' (2026-12-01, 09:00-12:00) holds 1x Stage Wash Light.
Event 'Evening Recital' (2026-12-01, 18:00-21:00) requests 1x Stage Wash Light.
Data: seeded by `npx prisma db seed` (SPM-48 test fixtures).
Logged in as Technical Support Staff (vikram.nair@connectsphere.com, password123).
Unless a case says otherwise, the event has no venue booked yet, so each line also shows 'Venue not yet chosen — transfer time not included.'</t>
        </is>
      </c>
      <c r="G10" s="17" t="inlineStr">
        <is>
          <t>Equipment: Stage Wash Light, Requested: 1, Total: 2, Held by Morning Workshop: 1</t>
        </is>
      </c>
      <c r="H10" s="17" t="inlineStr">
        <is>
          <t>1. Click Equipment Requests in the side menu
2. Open the equipment request for the Evening Recital event
3. Read the Stage Wash Light line under Requested items</t>
        </is>
      </c>
      <c r="I10" s="17" t="inlineStr">
        <is>
          <t>The Stage Wash Light line shows the chip 'Available' and '2 total − 0 in maintenance − 1 reserved elsewhere = 1 available for these dates'.</t>
        </is>
      </c>
      <c r="J10" s="7" t="n"/>
      <c r="K10" s="13" t="n"/>
      <c r="L10" s="7" t="n"/>
    </row>
    <row r="11" ht="228" customHeight="1" s="21">
      <c r="A11" s="17" t="n">
        <v>5</v>
      </c>
      <c r="B11" s="17" t="inlineStr">
        <is>
          <t>SPM-48-TC15</t>
        </is>
      </c>
      <c r="C11" s="17" t="inlineStr">
        <is>
          <t>Each session of a multi-session event is checked against its own dates</t>
        </is>
      </c>
      <c r="D11" s="17" t="inlineStr">
        <is>
          <t>AC3, AC5</t>
        </is>
      </c>
      <c r="E11" s="17" t="inlineStr">
        <is>
          <t>Positive</t>
        </is>
      </c>
      <c r="F11" s="17" t="inlineStr">
        <is>
          <t>Rule source: customer Q&amp;A #74 (different sessions can have different equipment) and SPM-47.
'PA Speaker': 2 total, 0 in maintenance.
Event 'Open House' (2026-10-05) holds 2x PA Speaker.
Event 'Two-Day Summit' has session 'Day 1' (2026-10-05) and session 'Day 2' (2026-10-20). Each session requests 2x PA Speaker.
Data: seeded by `npx prisma db seed` (SPM-48 test fixtures).
Logged in as Technical Support Staff (vikram.nair@connectsphere.com, password123).
Unless a case says otherwise, the event has no venue booked yet, so each line also shows 'Venue not yet chosen — transfer time not included.'</t>
        </is>
      </c>
      <c r="G11" s="17" t="inlineStr">
        <is>
          <t>Equipment: PA Speaker, Requested: 2 per session, Day 1: 2026-10-05, Day 2: 2026-10-20</t>
        </is>
      </c>
      <c r="H11" s="17" t="inlineStr">
        <is>
          <t>1. Click Equipment Requests in the side menu
2. Open the equipment request for the Two-Day Summit event
3. Read the PA Speaker line under Day 1
4. Read the PA Speaker line under Day 2</t>
        </is>
      </c>
      <c r="I11" s="17" t="inlineStr">
        <is>
          <t>Day 1: the PA Speaker line shows the chip 'Unavailable' and '2 total − 0 in maintenance − 2 reserved elsewhere = 0 available for these dates'.
Day 2: the PA Speaker line shows the chip 'Available' and '2 total − 0 in maintenance − 0 reserved elsewhere = 2 available for these dates'.
The banner 'Not everything requested is available.' is shown above the requested items.</t>
        </is>
      </c>
      <c r="J11" s="7" t="n"/>
      <c r="K11" s="13" t="n"/>
      <c r="L11" s="7" t="n"/>
    </row>
    <row r="12" ht="168" customHeight="1" s="21">
      <c r="A12" s="17" t="n">
        <v>6</v>
      </c>
      <c r="B12" s="17" t="inlineStr">
        <is>
          <t>SPM-48-TC16</t>
        </is>
      </c>
      <c r="C12" s="17" t="inlineStr">
        <is>
          <t>Equipment in ConnectSphere storage leaves the fixed transfer/prep time before the event</t>
        </is>
      </c>
      <c r="D12" s="17" t="inlineStr">
        <is>
          <t>AC6</t>
        </is>
      </c>
      <c r="E12" s="17" t="inlineStr">
        <is>
          <t>Positive</t>
        </is>
      </c>
      <c r="F12" s="17" t="inlineStr">
        <is>
          <t>Rule source: customer Q&amp;A #2 - transfer and preparation time is considered when equipment must move to the event venue. Fixed at 2 hours (team proposal).
'Follow Spot': 1 total, 0 in maintenance, kept in ConnectSphere storage (no venue set).
Event 'Product Showcase' (2026-10-21, 11:00-15:00) is booked at Marina Auditorium and requests 1x Follow Spot.
This event has a venue, so it does not show 'Venue not yet chosen'.</t>
        </is>
      </c>
      <c r="G12" s="17" t="inlineStr">
        <is>
          <t>Event start: 2026-10-21 11:00, Equipment location: ConnectSphere storage, Event venue: Marina Auditorium, Transfer/prep time: 2 hours</t>
        </is>
      </c>
      <c r="H12" s="17" t="inlineStr">
        <is>
          <t>1. Click Equipment Requests in the side menu
2. Open the equipment request for the Product Showcase event
3. Read the Follow Spot line under Requested items</t>
        </is>
      </c>
      <c r="I12" s="17" t="inlineStr">
        <is>
          <t>The line shows 'Leaves 21 Oct 2026, 09:00 — 2 hours before the event for transfer and preparation.'
The Follow Spot line shows the chip 'Available' and '1 total − 0 in maintenance − 0 reserved elsewhere = 1 available for these dates'.</t>
        </is>
      </c>
      <c r="J12" s="7" t="n"/>
      <c r="K12" s="13" t="n"/>
      <c r="L12" s="7" t="n"/>
    </row>
    <row r="13" ht="168" customHeight="1" s="21">
      <c r="A13" s="17" t="n">
        <v>7</v>
      </c>
      <c r="B13" s="17" t="inlineStr">
        <is>
          <t>SPM-48-TC19</t>
        </is>
      </c>
      <c r="C13" s="17" t="inlineStr">
        <is>
          <t>Units under maintenance are excluded from the available count</t>
        </is>
      </c>
      <c r="D13" s="17" t="inlineStr">
        <is>
          <t>AC7</t>
        </is>
      </c>
      <c r="E13" s="17" t="inlineStr">
        <is>
          <t>Positive</t>
        </is>
      </c>
      <c r="F13" s="17" t="inlineStr">
        <is>
          <t>'Document Camera': 5 total with 2 recorded as in maintenance, none reserved elsewhere.
Event 'Alumni Talk' (2026-10-28) requests 3x Document Camera.
Data: seeded by `npx prisma db seed` (SPM-48 test fixtures).
Logged in as Technical Support Staff (vikram.nair@connectsphere.com, password123).
Unless a case says otherwise, the event has no venue booked yet, so each line also shows 'Venue not yet chosen — transfer time not included.'</t>
        </is>
      </c>
      <c r="G13" s="17" t="inlineStr">
        <is>
          <t>Equipment: Document Camera, Total: 5, In maintenance: 2, Requested: 3</t>
        </is>
      </c>
      <c r="H13" s="17" t="inlineStr">
        <is>
          <t>1. Click Equipment Requests in the side menu
2. Open the equipment request for the Alumni Talk event
3. Read the Document Camera line under Requested items</t>
        </is>
      </c>
      <c r="I13" s="17" t="inlineStr">
        <is>
          <t>The Document Camera line shows the chip 'Available' and '5 total − 2 in maintenance − 0 reserved elsewhere = 3 available for these dates'.
No 'Not everything requested is available.' banner is shown.</t>
        </is>
      </c>
      <c r="J13" s="7" t="n"/>
      <c r="K13" s="13" t="n"/>
      <c r="L13" s="7" t="n"/>
    </row>
    <row r="14" ht="243" customHeight="1" s="21">
      <c r="A14" s="17" t="n">
        <v>8</v>
      </c>
      <c r="B14" s="17" t="inlineStr">
        <is>
          <t>SPM-48-TC21</t>
        </is>
      </c>
      <c r="C14" s="17" t="inlineStr">
        <is>
          <t>A request with several lines shows a result per line and one overall banner</t>
        </is>
      </c>
      <c r="D14" s="17" t="inlineStr">
        <is>
          <t>AC2, AC8</t>
        </is>
      </c>
      <c r="E14" s="17" t="inlineStr">
        <is>
          <t>Positive</t>
        </is>
      </c>
      <c r="F14" s="17" t="inlineStr">
        <is>
          <t>Event 'Vendor Networking Evening' (2026-11-15, 17:00-22:00, booked at Marina Grand Hall) requests 6x Lavalier Wireless Mic, 1x Streaming Encoder, 2x Truss Lighting Bar and 1x Marina Hall Sound System.
 Stock for those dates: Lavalier Wireless Mic 10 total, 2 in maintenance, 4 held by 'Regional Tech Expo' (2026-11-14). Streaming Encoder 3 total, 2 held by 'Regional Tech Expo' and 1 by 'Annual Partner Awards Night' (2026-11-16). Truss Lighting Bar 6 total, 1 in maintenance. Marina Hall Sound System 1 total, kept at Marina Grand Hall.
 Data: seeded by `npx prisma db seed` (SPM-48 test fixtures).
 Logged in as Technical Support Staff (vikram.nair@connectsphere.com, password123).</t>
        </is>
      </c>
      <c r="G14" s="17" t="inlineStr">
        <is>
          <t>Lavalier Wireless Mic: requested 6, available 4. Streaming Encoder: requested 1, available 1 (never more than 2 of 3 out on one day). Truss Lighting Bar: requested 2, available 5. Marina Hall Sound System: requested 1, available 1</t>
        </is>
      </c>
      <c r="H14" s="17" t="inlineStr">
        <is>
          <t>1. Click Equipment Requests in the side menu
 2. Open the equipment request for the Vendor Networking Evening event
 3. Read all four lines under Requested items
 4. Read the area above the requested items</t>
        </is>
      </c>
      <c r="I14" s="17" t="inlineStr">
        <is>
          <t>Lavalier Wireless Mic shows the chip 'Partial', '10 total − 2 in maintenance − 4 reserved elsewhere = 4 available for these dates' and '6 requested, 4 available.'
 Streaming Encoder shows the chip 'Available' and '3 total − 0 in maintenance − 2 reserved elsewhere = 1 available for these dates' - Regional Tech Expo's 2 units are back from 15 Nov and Annual Partner Awards Night holds only 1, so no more than 2 are out on either day this event needs (14-15 Nov).
 Truss Lighting Bar shows the chip 'Available' and '6 total − 1 in maintenance − 0 reserved elsewhere = 5 available for these dates'.
 Marina Hall Sound System shows the chip 'Available', '1 total − 0 in maintenance − 0 reserved elsewhere = 1 available for these dates' and 'Already at the venue: needed from 15 Nov 2026, 17:00.'
 The banner 'Not everything requested is available.' is shown above the requested items.</t>
        </is>
      </c>
      <c r="J14" s="7" t="n"/>
      <c r="K14" s="13" t="n"/>
      <c r="L14" s="7" t="n"/>
    </row>
    <row r="15" ht="20" customHeight="1" s="21">
      <c r="A15" s="6" t="inlineStr">
        <is>
          <t>SPM-49  Reserve Equipment  -  no fixture script: uses the base seed data</t>
        </is>
      </c>
      <c r="B15" s="16" t="n"/>
      <c r="C15" s="16" t="n"/>
      <c r="D15" s="16" t="n"/>
      <c r="E15" s="16" t="n"/>
      <c r="F15" s="16" t="n"/>
      <c r="G15" s="16" t="n"/>
      <c r="H15" s="16" t="n"/>
      <c r="I15" s="16" t="n"/>
      <c r="J15" s="16" t="n"/>
      <c r="K15" s="16" t="n"/>
      <c r="L15" s="16" t="n"/>
    </row>
    <row r="16" ht="213" customHeight="1" s="21">
      <c r="A16" s="17" t="n">
        <v>9</v>
      </c>
      <c r="B16" s="17" t="inlineStr">
        <is>
          <t>SPM-49-TC01</t>
        </is>
      </c>
      <c r="C16" s="17" t="inlineStr">
        <is>
          <t>Reserve the full requested quantity when enough is available</t>
        </is>
      </c>
      <c r="D16" s="17" t="inlineStr">
        <is>
          <t>AC1</t>
        </is>
      </c>
      <c r="E16" s="17" t="inlineStr">
        <is>
          <t>Positive</t>
        </is>
      </c>
      <c r="F16" s="17" t="inlineStr">
        <is>
          <t>Rule (team decision): clicking Reserve always reserves the smaller of what was requested and what is available for that line - never more than requested, and never more than available. There is no quantity box to type into.
'Portable Stage': 6 total, 0 in maintenance, none held by other events for these dates.
Event 'Spring Fair' (2027-02-02) requests 3x Portable Stage (status 'Under review').
Data: seeded by `npx prisma db seed` (SPM-49 test fixtures). Every case that reserves changes the data, so reseed before running it again.
Logged in as Technical Support Staff (vikram.nair@connectsphere.com, password123).</t>
        </is>
      </c>
      <c r="G16" s="17" t="inlineStr">
        <is>
          <t>Equipment: Portable Stage, Requested: 3, Available: 6</t>
        </is>
      </c>
      <c r="H16" s="17" t="inlineStr">
        <is>
          <t>1. Click Equipment Requests in the side menu
2. Open the equipment request for the Spring Fair event
3. Read the Portable Stage line
4. Click Reserve on the Portable Stage line</t>
        </is>
      </c>
      <c r="I16" s="17" t="inlineStr">
        <is>
          <t>The message 'Reservation saved: 3 reserved.' appears on the Portable Stage line.
The Reserved box on the Portable Stage line shows 3.
The request status chip shows 'Reserved'.</t>
        </is>
      </c>
      <c r="J16" s="7" t="n"/>
      <c r="K16" s="13" t="n"/>
      <c r="L16" s="7" t="n"/>
    </row>
    <row r="17" ht="138" customHeight="1" s="21">
      <c r="A17" s="17" t="n">
        <v>10</v>
      </c>
      <c r="B17" s="17" t="inlineStr">
        <is>
          <t>SPM-49-TC05</t>
        </is>
      </c>
      <c r="C17" s="17" t="inlineStr">
        <is>
          <t>The reservation is still there, with its type and quantity, after reloading</t>
        </is>
      </c>
      <c r="D17" s="17" t="inlineStr">
        <is>
          <t>AC2</t>
        </is>
      </c>
      <c r="E17" s="17" t="inlineStr">
        <is>
          <t>Positive</t>
        </is>
      </c>
      <c r="F17" s="17" t="inlineStr">
        <is>
          <t>'Portable Stage': 6 total, 0 in maintenance, none held by other events for these dates.
Event 'Autumn Fair' (2027-02-09) requests 2x Portable Stage.
Data: seeded by `npx prisma db seed` (SPM-49 test fixtures). Every case that reserves changes the data, so reseed before running it again.
Logged in as Technical Support Staff (vikram.nair@connectsphere.com, password123).</t>
        </is>
      </c>
      <c r="G17" s="17" t="inlineStr">
        <is>
          <t>Equipment: Portable Stage, Requested: 2</t>
        </is>
      </c>
      <c r="H17" s="17" t="inlineStr">
        <is>
          <t>1. Click Equipment Requests in the side menu
2. Open the equipment request for the Autumn Fair event
3. Click Reserve on the Portable Stage line
4. Reload the page in the browser
5. Read the Portable Stage line</t>
        </is>
      </c>
      <c r="I17" s="17" t="inlineStr">
        <is>
          <t>After the reload the line still says Portable Stage and the Reserved box shows 2.
The request status chip shows 'Reserved'.</t>
        </is>
      </c>
      <c r="J17" s="7" t="n"/>
      <c r="K17" s="13" t="n"/>
      <c r="L17" s="7" t="n"/>
    </row>
    <row r="18" ht="198" customHeight="1" s="21">
      <c r="A18" s="17" t="n">
        <v>11</v>
      </c>
      <c r="B18" s="17" t="inlineStr">
        <is>
          <t>SPM-49-TC19</t>
        </is>
      </c>
      <c r="C18" s="17" t="inlineStr">
        <is>
          <t>Each session of a multi-session event is reserved against its own dates</t>
        </is>
      </c>
      <c r="D18" s="17" t="inlineStr">
        <is>
          <t>AC3, AC4, AC5</t>
        </is>
      </c>
      <c r="E18" s="17" t="inlineStr">
        <is>
          <t>Positive</t>
        </is>
      </c>
      <c r="F18" s="17" t="inlineStr">
        <is>
          <t>Rule source: customer Q&amp;A #74 (sessions can need different equipment).
'Wireless Presenter': 4 total, 0 in maintenance. Event 'Trade Mixer' (2027-06-07) already holds all 4 (reserved).
Event 'Two-Day Forum' has session 'Day 1' (2027-06-07) and session 'Day 2' (2027-06-21), each requesting 2x Wireless Presenter.
Data: seeded by `npx prisma db seed` (SPM-49 test fixtures). Every case that reserves changes the data, so reseed before running it again.
Logged in as Technical Support Staff (vikram.nair@connectsphere.com, password123).</t>
        </is>
      </c>
      <c r="G18" s="17" t="inlineStr">
        <is>
          <t>Equipment: Wireless Presenter, Requested: 2 per session, Day 1: 2027-06-07 (held), Day 2: 2027-06-21</t>
        </is>
      </c>
      <c r="H18" s="17" t="inlineStr">
        <is>
          <t>1. Click Equipment Requests in the side menu
2. Open the equipment request for the Two-Day Forum event
3. Read the Wireless Presenter line under Day 1 and under Day 2
4. Click Reserve on the Day 2 line
5. Look for a Reserve button on the Day 1 line</t>
        </is>
      </c>
      <c r="I18" s="17" t="inlineStr">
        <is>
          <t>Day 1 shows the chip 'Unavailable' and '4 total − 0 in maintenance − 4 reserved elsewhere = 0 available for these dates'.
Day 2 shows the chip 'Available' and '4 total − 0 in maintenance − 0 reserved elsewhere = 4 available for these dates'.
Day 2: the reservation is saved and its Reserved box shows 2.
Day 1: no Reserve button is offered.</t>
        </is>
      </c>
      <c r="J18" s="7" t="n"/>
      <c r="K18" s="13" t="n"/>
      <c r="L18" s="7" t="n"/>
    </row>
    <row r="19" ht="183" customHeight="1" s="21">
      <c r="A19" s="17" t="n">
        <v>12</v>
      </c>
      <c r="B19" s="17" t="inlineStr">
        <is>
          <t>SPM-49-TC20</t>
        </is>
      </c>
      <c r="C19" s="17" t="inlineStr">
        <is>
          <t>A saved reservation can be viewed by another Technical Support user</t>
        </is>
      </c>
      <c r="D19" s="17" t="inlineStr">
        <is>
          <t>AC6</t>
        </is>
      </c>
      <c r="E19" s="17" t="inlineStr">
        <is>
          <t>Positive</t>
        </is>
      </c>
      <c r="F19" s="17" t="inlineStr">
        <is>
          <t>Rule source: customer Q&amp;A #66 (Technical Support is not restricted by equipment type or location).
'Portable Stage': 6 total, 0 in maintenance.
Event 'Reserved Showcase' (2027-07-05) already has a reservation for 3x Portable Stage (status 'Reserved'), made by another Technical Support user.
Data: seeded by `npx prisma db seed` (SPM-49 test fixtures).
Logged in as Technical Support Staff (chloe.teo@connectsphere.com, password123).</t>
        </is>
      </c>
      <c r="G19" s="17" t="inlineStr">
        <is>
          <t>Equipment: Portable Stage, Requested: 3, Reserved: 3</t>
        </is>
      </c>
      <c r="H19" s="17" t="inlineStr">
        <is>
          <t>1. Click Equipment Requests in the side menu
2. Open the equipment request for the Reserved Showcase event
3. Read the Portable Stage line</t>
        </is>
      </c>
      <c r="I19" s="17" t="inlineStr">
        <is>
          <t>The Reserved box on the Portable Stage line shows 3.
The request status chip shows 'Reserved'.
The breakdown reads '6 total − 0 in maintenance − 0 reserved elsewhere = 6 available for these dates' (the event's own reservation is not counted against itself).</t>
        </is>
      </c>
      <c r="J19" s="7" t="n"/>
      <c r="K19" s="13" t="n"/>
      <c r="L19" s="7" t="n"/>
    </row>
    <row r="20" ht="20" customHeight="1" s="21">
      <c r="A20" s="6" t="inlineStr">
        <is>
          <t>SPM-50  Review and Update Equipment Request  -  run npm run fixtures:spm50 before its first case</t>
        </is>
      </c>
      <c r="B20" s="16" t="n"/>
      <c r="C20" s="16" t="n"/>
      <c r="D20" s="16" t="n"/>
      <c r="E20" s="16" t="n"/>
      <c r="F20" s="16" t="n"/>
      <c r="G20" s="16" t="n"/>
      <c r="H20" s="16" t="n"/>
      <c r="I20" s="16" t="n"/>
      <c r="J20" s="16" t="n"/>
      <c r="K20" s="16" t="n"/>
      <c r="L20" s="16" t="n"/>
    </row>
    <row r="21" ht="168" customHeight="1" s="21">
      <c r="A21" s="17" t="n">
        <v>13</v>
      </c>
      <c r="B21" s="17" t="inlineStr">
        <is>
          <t>SPM-50-TC01</t>
        </is>
      </c>
      <c r="C21" s="17" t="inlineStr">
        <is>
          <t>Technical Support sees every requested item with its quantity and the Coordinator's technical requirements</t>
        </is>
      </c>
      <c r="D21" s="17" t="inlineStr">
        <is>
          <t>AC1</t>
        </is>
      </c>
      <c r="E21" s="17" t="inlineStr">
        <is>
          <t>Positive</t>
        </is>
      </c>
      <c r="F21" s="17" t="inlineStr">
        <is>
          <t>Event 'Robotics Expo' (2027-08-02, status 'Planning') has two equipment lines recorded by its Coordinator:
- 2x Wireless Presenter, technical requirements 'Must pair with the stage laptop over USB-C'
- 3x Confidence Monitor, technical requirements 'Floor wedges facing the speaker, HDMI from the lectern'
Data: run `npm run fixtures:spm50` first.
Logged in as Technical Support Staff (vikram.nair@connectsphere.com, password123).</t>
        </is>
      </c>
      <c r="G21" s="17" t="inlineStr">
        <is>
          <t>Event: Robotics Expo
Lines: Wireless Presenter x2, Confidence Monitor x3</t>
        </is>
      </c>
      <c r="H21" s="17" t="inlineStr">
        <is>
          <t>1. Click Equipment Requests in the side menu
2. Find the Robotics Expo row in the list
3. Open the equipment request for the Robotics Expo event
4. Read the Wireless Presenter line
5. Read the Confidence Monitor line</t>
        </is>
      </c>
      <c r="I21" s="17" t="inlineStr">
        <is>
          <t>Step 2: The Robotics Expo row shows 'Equipment lines' = 2.
Step 3: The Equipment request page opens with the heading 'Equipment request' and the subtitle 'Robotics Expo · ' followed by the event's date and time.
Step 4: The line shows 'Wireless Presenter', Requested 2, its Status chip, and 'Technical requirements: Must pair with the stage laptop over USB-C'.
Step 5: The line shows 'Confidence Monitor', Requested 3, its Status chip, and 'Technical requirements: Floor wedges facing the speaker, HDMI from the lectern'.</t>
        </is>
      </c>
      <c r="J21" s="7" t="n"/>
      <c r="K21" s="13" t="n"/>
      <c r="L21" s="7" t="n"/>
    </row>
    <row r="22" ht="123" customHeight="1" s="21">
      <c r="A22" s="17" t="n">
        <v>14</v>
      </c>
      <c r="B22" s="17" t="inlineStr">
        <is>
          <t>SPM-50-TC04</t>
        </is>
      </c>
      <c r="C22" s="17" t="inlineStr">
        <is>
          <t>Line marked 'Cannot be provided' can be reopened to Under review</t>
        </is>
      </c>
      <c r="D22" s="17" t="inlineStr">
        <is>
          <t>AC2, AC3</t>
        </is>
      </c>
      <c r="E22" s="17" t="inlineStr">
        <is>
          <t>Positive</t>
        </is>
      </c>
      <c r="F22" s="17" t="inlineStr">
        <is>
          <t>Event 'Design Week' (2027-08-16, status 'Planning') has a 'Ring Light' x2 line already marked 'Cannot be provided' with technical notes 'Both units out for repair'.
Data: run `npm run fixtures:spm50` first, and again before repeating the case.
Logged in as Technical Support Staff (vikram.nair@connectsphere.com, password123).</t>
        </is>
      </c>
      <c r="G22" s="17" t="inlineStr">
        <is>
          <t>Fulfilment status: Cannot be provided -&gt; Under review
Technical notes: Repair finished early, re-checking availability</t>
        </is>
      </c>
      <c r="H22" s="17" t="inlineStr">
        <is>
          <t>1. Open the equipment request for the Design Week event
2. On the Ring Light line, click 'Update'
3. In 'Fulfilment status', choose 'Under review'
4. In 'Technical notes', replace the text with 'Repair finished early, re-checking availability'.
5. Click 'Save'</t>
        </is>
      </c>
      <c r="I22" s="17" t="inlineStr">
        <is>
          <t>Step 5: 'Update saved.' appears. The Status chip shows 'Under review' and the line's technical notes read 'Repair finished early, re-checking availability'.</t>
        </is>
      </c>
      <c r="J22" s="7" t="n"/>
      <c r="K22" s="13" t="n"/>
      <c r="L22" s="7" t="n"/>
    </row>
    <row r="23" ht="153" customHeight="1" s="21">
      <c r="A23" s="17" t="n">
        <v>15</v>
      </c>
      <c r="B23" s="17" t="inlineStr">
        <is>
          <t>SPM-50-TC08</t>
        </is>
      </c>
      <c r="C23" s="17" t="inlineStr">
        <is>
          <t>Technical Support records technical notes, sees who updated the line, and can clear them</t>
        </is>
      </c>
      <c r="D23" s="17" t="inlineStr">
        <is>
          <t>AC4, AC5</t>
        </is>
      </c>
      <c r="E23" s="17" t="inlineStr">
        <is>
          <t>Positive</t>
        </is>
      </c>
      <c r="F23" s="17" t="inlineStr">
        <is>
          <t>Robotics Expo's Wireless Presenter line is 'Requested' with no technical notes.
Data: run `npm run fixtures:spm50` first, and again before repeating the case.
Logged in as Technical Support Staff (vikram.nair@connectsphere.com, password123).</t>
        </is>
      </c>
      <c r="G23" s="17" t="inlineStr">
        <is>
          <t>Technical notes: Presenters need fresh AAA batteries; USB-C dongle is in kit bag 3 -&gt; (empty)</t>
        </is>
      </c>
      <c r="H23" s="17" t="inlineStr">
        <is>
          <t>1. Open the equipment request for the Robotics Expo event
2. On the Wireless Presenter line, click 'Update'
3. Leave 'Fulfilment status' as 'Requested'
4. In 'Technical notes', enter "Presenters need fresh AAA batteries; USB-C dongle is in kit bag 3'
5. Click 'Save'
6. Refresh the page
7. On the Wireless Presenter line, click 'Update'
8. Delete all text in 'Technical notes'
9. Click 'Save'</t>
        </is>
      </c>
      <c r="I23" s="17" t="inlineStr">
        <is>
          <t>Step 5: 'Update saved.' appears. The Status chip still shows 'Requested'.
Step 6: The line shows 'Technical Support notes: Presenters need fresh AAA batteries; USB-C dongle is in kit bag 3', separately from 'Technical requirements: Must pair with the stage laptop over USB-C', which is unchanged. It also shows 'Last updated by Vikram Nair, ' followed by the date and time of the save (for example '2 Oct 2026, 14:05').
Step 9: 'Update saved.' appears and the line shows 'Technical Support notes: —'. The Status chip still shows 'Requested'.</t>
        </is>
      </c>
      <c r="J23" s="7" t="n"/>
      <c r="K23" s="13" t="n"/>
      <c r="L23" s="7" t="n"/>
    </row>
    <row r="24" ht="20" customHeight="1" s="21">
      <c r="A24" s="6" t="inlineStr">
        <is>
          <t>SPM-55  Record Equipment Unavailability  -  run npm run fixtures:spm55 before its first case</t>
        </is>
      </c>
      <c r="B24" s="16" t="n"/>
      <c r="C24" s="16" t="n"/>
      <c r="D24" s="16" t="n"/>
      <c r="E24" s="16" t="n"/>
      <c r="F24" s="16" t="n"/>
      <c r="G24" s="16" t="n"/>
      <c r="H24" s="16" t="n"/>
      <c r="I24" s="16" t="n"/>
      <c r="J24" s="16" t="n"/>
      <c r="K24" s="16" t="n"/>
      <c r="L24" s="16" t="n"/>
    </row>
    <row r="25" ht="123" customHeight="1" s="21">
      <c r="A25" s="17" t="n">
        <v>16</v>
      </c>
      <c r="B25" s="17" t="inlineStr">
        <is>
          <t>SPM-55-TC01</t>
        </is>
      </c>
      <c r="C25" s="17" t="inlineStr">
        <is>
          <t>Technical Support record some units of an item as under maintenance, with a reason</t>
        </is>
      </c>
      <c r="D25" s="17" t="inlineStr">
        <is>
          <t>AC1, AC2, AC6</t>
        </is>
      </c>
      <c r="E25" s="17" t="inlineStr">
        <is>
          <t>Positive</t>
        </is>
      </c>
      <c r="F25" s="17" t="inlineStr">
        <is>
          <t>npm run fixtures:spm55 has been run. 'SPM55 Laser Projector' has 4 units in total and none out of service. Logged in as Technical Support Kenji Sato (kenji.sato@connectsphere.com / password123). This case changes the item - SPM-55-TC02 and TC03 read the result, so go straight to those and run npm run fixtures:spm55 after TC03.</t>
        </is>
      </c>
      <c r="G25" s="17" t="inlineStr">
        <is>
          <t>Item: SPM55 Laser Projector (4 units)
Units out of service: 2
Type: Under maintenance
Reason: Lamp replacement</t>
        </is>
      </c>
      <c r="H25" s="17" t="inlineStr">
        <is>
          <t>1. Click 'Equipment' in the sidebar
2. Click 'Record unavailability' on the 'SPM55 Laser Projector' row
3. Type 2 in 'Units out of service'
4. Choose 'Under maintenance' in 'Type'
5. Type 'Lamp replacement' in 'Reason (optional)'
6. Click 'Save'</t>
        </is>
      </c>
      <c r="I25" s="17" t="inlineStr">
        <is>
          <t>Step 1: The Equipment page lists the catalogue. 'SPM55 Laser Projector' shows Total units 4, Out of service 0 and the status 'Available'.
Step 2: A dialog headed 'Record unavailability - SPM55 Laser Projector' opens with 'Units out of service', 'Type' and 'Reason (optional)'.
Step 6: The dialog closes and the message 'Saved. 2 of 4 SPM55 Laser Projector units are out of service. No reservations were affected.' is shown. The row now shows Out of service 2, the status 'Partly out of service', and 'Under maintenance - Lamp replacement' in the Reason column.</t>
        </is>
      </c>
      <c r="J25" s="7" t="n"/>
      <c r="K25" s="13" t="n"/>
      <c r="L25" s="7" t="n"/>
    </row>
    <row r="26" ht="108" customHeight="1" s="21">
      <c r="A26" s="17" t="n">
        <v>17</v>
      </c>
      <c r="B26" s="17" t="inlineStr">
        <is>
          <t>SPM-55-TC02</t>
        </is>
      </c>
      <c r="C26" s="17" t="inlineStr">
        <is>
          <t>Units out of service are left out of the availability check and of what Reserve takes</t>
        </is>
      </c>
      <c r="D26" s="17" t="inlineStr">
        <is>
          <t>AC3</t>
        </is>
      </c>
      <c r="E26" s="17" t="inlineStr">
        <is>
          <t>Positive</t>
        </is>
      </c>
      <c r="F26" s="17" t="inlineStr">
        <is>
          <t>SPM-55-TC01 has just been run (so 2 of the 4 'SPM55 Laser Projector' units are out of service) and the fixtures have NOT been reset since. 'SPM55 Availability Check Forum' (Planning, 9 Aug 2027) requests 4 SPM55 Laser Projectors, not yet reserved, and nothing else holds them that week. Still logged in as Kenji Sato.</t>
        </is>
      </c>
      <c r="G26" s="17" t="inlineStr">
        <is>
          <t>Event: SPM55 Availability Check Forum (Planning)
Request: SPM55 Laser Projector x 4
Out of service: 2 of 4</t>
        </is>
      </c>
      <c r="H26" s="17" t="inlineStr">
        <is>
          <t>1. Click 'Equipment Requests' in the sidebar
2. Click 'SPM55 Availability Check Forum' in the list
3. Click 'Reserve' on the 'SPM55 Laser Projector' line</t>
        </is>
      </c>
      <c r="I26" s="17" t="inlineStr">
        <is>
          <t>Step 2: The 'SPM55 Laser Projector' line reads '4 total − 2 out of service − 0 reserved elsewhere = 2 available for these dates' and '4 requested, 2 available.', with the availability chip 'Partial'.
Step 3: The message 'Reservation saved: 2 reserved.' is shown and the line's status becomes 'Partially fulfilled' with 2 reserved - the 2 units out of service were not reserved.</t>
        </is>
      </c>
      <c r="J26" s="7" t="n"/>
      <c r="K26" s="13" t="n"/>
      <c r="L26" s="7" t="n"/>
    </row>
    <row r="27" ht="138" customHeight="1" s="21">
      <c r="A27" s="17" t="n">
        <v>18</v>
      </c>
      <c r="B27" s="17" t="inlineStr">
        <is>
          <t>SPM-55-TC03</t>
        </is>
      </c>
      <c r="C27" s="17" t="inlineStr">
        <is>
          <t>Returning every unit to available counts them in the availability check again</t>
        </is>
      </c>
      <c r="D27" s="17" t="inlineStr">
        <is>
          <t>AC5, AC3</t>
        </is>
      </c>
      <c r="E27" s="17" t="inlineStr">
        <is>
          <t>Positive</t>
        </is>
      </c>
      <c r="F27" s="17" t="inlineStr">
        <is>
          <t>SPM-55-TC02 has just been run (2 of the 4 'SPM55 Laser Projector' units out of service, 2 reserved for SPM55 Availability Check Forum) and the fixtures have NOT been reset since. 'SPM55 Return Check Seminar' (Planning, 23 Aug 2027) requests 4 SPM55 Laser Projectors, not yet reserved; nothing else holds them that week. Still logged in as Kenji Sato. Run npm run fixtures:spm55 after this case.</t>
        </is>
      </c>
      <c r="G27" s="17" t="inlineStr">
        <is>
          <t>Item: SPM55 Laser Projector (2 of 4 out of service)
Event: SPM55 Return Check Seminar (Planning), requests 4</t>
        </is>
      </c>
      <c r="H27" s="17" t="inlineStr">
        <is>
          <t>1. Click 'Equipment' in the sidebar
2. Click 'Return all to available' on the 'SPM55 Laser Projector' row
3. Click 'Return to available' in the dialog
4. Click 'Equipment Requests' in the sidebar
5. Click 'SPM55 Return Check Seminar' in the list</t>
        </is>
      </c>
      <c r="I27" s="17" t="inlineStr">
        <is>
          <t>Step 2: A dialog headed 'Return all units to available?' says the 2 units out of service will be counted as available again.
Step 3: The message 'All SPM55 Laser Projector units are back in service.' is shown. The row shows Out of service 0, the status 'Available', and the Reason column shows '—'.
Step 5: The 'SPM55 Laser Projector' line reads '4 total − 0 out of service − 0 reserved elsewhere = 4 available for these dates' with the chip 'Available'.</t>
        </is>
      </c>
      <c r="J27" s="7" t="n"/>
      <c r="K27" s="13" t="n"/>
      <c r="L27" s="7" t="n"/>
    </row>
    <row r="28" ht="183" customHeight="1" s="21">
      <c r="A28" s="17" t="n">
        <v>19</v>
      </c>
      <c r="B28" s="17" t="inlineStr">
        <is>
          <t>SPM-55-TC06</t>
        </is>
      </c>
      <c r="C28" s="17" t="inlineStr">
        <is>
          <t>A reservation left short is flagged for review, not cancelled, and its Coordinator notified</t>
        </is>
      </c>
      <c r="D28" s="17" t="inlineStr">
        <is>
          <t>AC4</t>
        </is>
      </c>
      <c r="E28" s="17" t="inlineStr">
        <is>
          <t>Positive</t>
        </is>
      </c>
      <c r="F28" s="17" t="inlineStr">
        <is>
          <t>npm run fixtures:spm55 has been run. 'SPM55 Wireless Presenter' has 6 units, none out of service. It is Reserved: 4 for 'SPM55 Harbour Product Launch' (Planning, 10 Aug 2027, coordinator Daniel Tan), 2 for 'SPM55 Quiet Board Meeting' (Planning, 24 Aug 2027) and 6 for 'SPM55 Past Roadshow' (Completed, 1 Sep 2026). Logged in as Kenji Sato (kenji.sato@connectsphere.com / password123). This case changes the item - run npm run fixtures:spm55 afterwards.</t>
        </is>
      </c>
      <c r="G28" s="17" t="inlineStr">
        <is>
          <t>Item: SPM55 Wireless Presenter (6 units), 3 marked Damaged
Reservations: Harbour Product Launch 4 (upcoming), Quiet Board Meeting 2 (upcoming), Past Roadshow 6 (completed)</t>
        </is>
      </c>
      <c r="H28" s="17" t="inlineStr">
        <is>
          <t>1. Click 'Equipment' in the sidebar
2. Click 'Record unavailability' on the 'SPM55 Wireless Presenter' row
3. Type 3 in 'Units out of service'
4. Choose 'Damaged' in 'Type'
5. Type 'Dropped in transit' in 'Reason (optional)'
6. Click 'Save'
7. Click 'Log out' in the top bar
8. Log in as daniel.tan@connectsphere.com with password123
9. Click 'All Events' in the sidebar
10. Click 'SPM55 Harbour Product Launch' in the list
11. Click the 'Equipment' tab</t>
        </is>
      </c>
      <c r="I28" s="17" t="inlineStr">
        <is>
          <t>Step 6: An amber panel reads 'Saved - 1 reservation flagged for review, coordinators notified'. It lists 'SPM55 Harbour Product Launch: 4 reserved, 3 available' and says the reservation has NOT been changed or cancelled. 'SPM55 Quiet Board Meeting' (2 reserved, 3 still enough) and 'SPM55 Past Roadshow' (already over) are not listed.
Step 11: The 'SPM55 Wireless Presenter' requirement is still listed with status 'Reserved' and 4 reserved - flagging did not cancel or reduce it.</t>
        </is>
      </c>
      <c r="J28" s="7" t="n"/>
      <c r="K28" s="13" t="n"/>
      <c r="L28" s="7" t="n"/>
    </row>
    <row r="29" ht="20" customHeight="1" s="21">
      <c r="A29" s="6" t="inlineStr">
        <is>
          <t>SPM-86  Submit Event for Operational Safety Check  -  run npm run fixtures:spm86 before its first case</t>
        </is>
      </c>
      <c r="B29" s="16" t="n"/>
      <c r="C29" s="16" t="n"/>
      <c r="D29" s="16" t="n"/>
      <c r="E29" s="16" t="n"/>
      <c r="F29" s="16" t="n"/>
      <c r="G29" s="16" t="n"/>
      <c r="H29" s="16" t="n"/>
      <c r="I29" s="16" t="n"/>
      <c r="J29" s="16" t="n"/>
      <c r="K29" s="16" t="n"/>
      <c r="L29" s="16" t="n"/>
    </row>
    <row r="30" ht="153" customHeight="1" s="21">
      <c r="A30" s="17" t="n">
        <v>20</v>
      </c>
      <c r="B30" s="17" t="inlineStr">
        <is>
          <t>SPM-86-TC01</t>
        </is>
      </c>
      <c r="C30" s="17" t="inlineStr">
        <is>
          <t>An event whose venue and equipment are both held can be submitted for a safety check</t>
        </is>
      </c>
      <c r="D30" s="17" t="inlineStr">
        <is>
          <t>AC1, AC3, AC5</t>
        </is>
      </c>
      <c r="E30" s="17" t="inlineStr">
        <is>
          <t>Positive</t>
        </is>
      </c>
      <c r="F30" s="17" t="inlineStr">
        <is>
          <t>npm run fixtures:spm86 has been run. 'SPM86 Harbour Safety Ready' is in Planning, assigned to Daniel Tan, with an approved venue booking at Orchard Seminar Room and one equipment requirement (Handheld Wireless Mic) with status Reserved. Logged in as Event Coordinator Daniel Tan (daniel.tan@connectsphere.com / password123). This case changes the event's status - SPM-86-TC02, TC03 and TC04 read the result, so go straight to those and run npm run fixtures:spm86 after TC04.</t>
        </is>
      </c>
      <c r="G30" s="17" t="inlineStr">
        <is>
          <t>Event: SPM86 Harbour Safety Ready (Planning)
Venue: Orchard Seminar Room, booking Approved
Equipment: Handheld Wireless Mic, Reserved
Coordinator: Daniel Tan</t>
        </is>
      </c>
      <c r="H30" s="17" t="inlineStr">
        <is>
          <t>1. Click 'All Events' in the sidebar
2. Click 'SPM86 Harbour Safety Ready' in the list
3. Click 'Submit for safety check'
4. Click 'Submit' in the dialog</t>
        </is>
      </c>
      <c r="I30" s="17" t="inlineStr">
        <is>
          <t>Step 2: The event opens with the status badge 'Planning' and a 'Submit for safety check' button in the header.
Step 3: A dialog headed 'Submit for safety check?' appears, saying the event will move to Safety review and the Safety Officer will be notified.
Step 4: The message 'The event has been submitted for a safety check. The Safety Officer has been notified.' is shown and the status badge changes to 'Safety review'.</t>
        </is>
      </c>
      <c r="J30" s="7" t="n"/>
      <c r="K30" s="13" t="n"/>
      <c r="L30" s="7" t="n"/>
    </row>
    <row r="31" ht="93" customHeight="1" s="21">
      <c r="A31" s="17" t="n">
        <v>21</v>
      </c>
      <c r="B31" s="17" t="inlineStr">
        <is>
          <t>SPM-86-TC02</t>
        </is>
      </c>
      <c r="C31" s="17" t="inlineStr">
        <is>
          <t>The submission is recorded with who submitted it and when, and the event cannot be submitted again</t>
        </is>
      </c>
      <c r="D31" s="17" t="inlineStr">
        <is>
          <t>AC8, AC6</t>
        </is>
      </c>
      <c r="E31" s="17" t="inlineStr">
        <is>
          <t>Positive</t>
        </is>
      </c>
      <c r="F31" s="17" t="inlineStr">
        <is>
          <t>SPM-86-TC01 has just been run (so 'SPM86 Harbour Safety Ready' is in Safety review) and the fixtures have NOT been reset since. Still logged in as Daniel Tan, on the event's page. Note the date and time TC01 step 4 was done.</t>
        </is>
      </c>
      <c r="G31" s="17" t="inlineStr">
        <is>
          <t>Event: SPM86 Harbour Safety Ready, now Safety review
Submitted by: Daniel Tan</t>
        </is>
      </c>
      <c r="H31" s="17" t="inlineStr">
        <is>
          <t>1. Reload the page in the browser</t>
        </is>
      </c>
      <c r="I31" s="17" t="inlineStr">
        <is>
          <t>Step 1: The status badge still reads 'Safety review' after reloading, and there is no 'Submit for safety check' button anywhere on the page - a safety check is already pending. In the 'Details' card, the row under 'Status' is 'Safety check', reading 'Awaiting review · submitted by Daniel Tan, &lt;date and time of TC01 step 4&gt;' (e.g. 'Awaiting review · submitted by Daniel Tan, 9 Oct 2026, 14:30'), in Singapore time.</t>
        </is>
      </c>
      <c r="J31" s="7" t="n"/>
      <c r="K31" s="13" t="n"/>
      <c r="L31" s="7" t="n"/>
    </row>
    <row r="32" ht="123" customHeight="1" s="21">
      <c r="A32" s="17" t="n">
        <v>22</v>
      </c>
      <c r="B32" s="17" t="inlineStr">
        <is>
          <t>SPM-86-TC03</t>
        </is>
      </c>
      <c r="C32" s="17" t="inlineStr">
        <is>
          <t>The Event Organiser sees that their event is in Safety review</t>
        </is>
      </c>
      <c r="D32" s="17" t="inlineStr">
        <is>
          <t>AC4</t>
        </is>
      </c>
      <c r="E32" s="17" t="inlineStr">
        <is>
          <t>Positive</t>
        </is>
      </c>
      <c r="F32" s="17" t="inlineStr">
        <is>
          <t>SPM-86-TC02 has just been run (so 'SPM86 Harbour Safety Ready' is in Safety review) and the fixtures have NOT been reset since. Rachel Ng (rachel.ng@meridianfina.com / password123) is the Event Organiser who raised it.</t>
        </is>
      </c>
      <c r="G32" s="17" t="inlineStr">
        <is>
          <t>Account: rachel.ng@meridianfina.com (Event Organiser)
Event: SPM86 Harbour Safety Ready, Safety review</t>
        </is>
      </c>
      <c r="H32" s="17" t="inlineStr">
        <is>
          <t>1. Click 'Log out' in the top bar
2. Log in as rachel.ng@meridianfina.com with password123
3. Click 'My Events' in the sidebar
4. Click 'SPM86 Harbour Safety Ready' in the list</t>
        </is>
      </c>
      <c r="I32" s="17" t="inlineStr">
        <is>
          <t>Step 2: The Dashboard opens and 'SPM86 Harbour Safety Ready' is listed under a 'Safety review' heading.
Step 3: 'SPM86 Harbour Safety Ready' appears in the organiser's list with the status 'Safety review'.
Step 4: The event opens with the status badge 'Safety review'. There is no 'Submit for safety check' button, and the 'Details' card shows 'Status: Safety review' with no 'Safety check' row - who submitted it is shown to staff only.</t>
        </is>
      </c>
      <c r="J32" s="7" t="n"/>
      <c r="K32" s="13" t="n"/>
      <c r="L32" s="7" t="n"/>
    </row>
    <row r="33" ht="20" customHeight="1" s="21">
      <c r="A33" s="6" t="inlineStr">
        <is>
          <t>SPM-87  Conduct Operational Safety Check  -  run npm run fixtures:spm87 before its first case</t>
        </is>
      </c>
      <c r="B33" s="16" t="n"/>
      <c r="C33" s="16" t="n"/>
      <c r="D33" s="16" t="n"/>
      <c r="E33" s="16" t="n"/>
      <c r="F33" s="16" t="n"/>
      <c r="G33" s="16" t="n"/>
      <c r="H33" s="16" t="n"/>
      <c r="I33" s="16" t="n"/>
      <c r="J33" s="16" t="n"/>
      <c r="K33" s="16" t="n"/>
      <c r="L33" s="16" t="n"/>
    </row>
    <row r="34" ht="153" customHeight="1" s="21">
      <c r="A34" s="17" t="n">
        <v>23</v>
      </c>
      <c r="B34" s="17" t="inlineStr">
        <is>
          <t>SPM-87-TC01</t>
        </is>
      </c>
      <c r="C34" s="17" t="inlineStr">
        <is>
          <t>The Safety Checks list shows events awaiting a check, earliest event date first</t>
        </is>
      </c>
      <c r="D34" s="17" t="inlineStr">
        <is>
          <t>AC1</t>
        </is>
      </c>
      <c r="E34" s="17" t="inlineStr">
        <is>
          <t>Positive</t>
        </is>
      </c>
      <c r="F34" s="17" t="inlineStr">
        <is>
          <t>npm run fixtures:spm87 has been run. Five SPM87 events are in Safety review: 'SPM87 Hillside Workshop' (8 Oct 2027), 'SPM87 Lakeside Conference' (12 Oct 2027), 'SPM87 Waterfront Gala' (18 Oct 2027), 'SPM87 Rooftop Launch Party' (20 Oct 2027) and 'SPM87 Twin Tab Briefing' (22 Oct 2027). They were submitted in the reverse order, newest event first. 'SPM87 Unsubmitted Planning Day' is in Planning. Other stories' events may also be listed; only the SPM87 ones are checked here.</t>
        </is>
      </c>
      <c r="G34" s="17" t="inlineStr">
        <is>
          <t>Safety Officer: hana.yusof@connectsphere.com (Hana Yusof)
SPM87 events in Safety review dated 8, 12, 18, 20 and 22 Oct 2027</t>
        </is>
      </c>
      <c r="H34" s="17" t="inlineStr">
        <is>
          <t>1. Log in as hana.yusof@connectsphere.com with password123
2. Click 'Safety Checks' in the sidebar</t>
        </is>
      </c>
      <c r="I34" s="17" t="inlineStr">
        <is>
          <t>Step 2: The Safety Checks page lists the five SPM87 events in Safety review in this order: SPM87 Hillside Workshop, SPM87 Lakeside Conference, SPM87 Waterfront Gala, SPM87 Rooftop Launch Party, SPM87 Twin Tab Briefing - by event date, not by when they were submitted. 'SPM87 Unsubmitted Planning Day' is not listed.</t>
        </is>
      </c>
      <c r="J34" s="7" t="n"/>
      <c r="K34" s="13" t="n"/>
      <c r="L34" s="7" t="n"/>
    </row>
    <row r="35" ht="153" customHeight="1" s="21">
      <c r="A35" s="17" t="n">
        <v>24</v>
      </c>
      <c r="B35" s="17" t="inlineStr">
        <is>
          <t>SPM-87-TC02</t>
        </is>
      </c>
      <c r="C35" s="17" t="inlineStr">
        <is>
          <t>The review shows attendance, each venue with its capacity, layout, opening hours and unavailable periods, accessibility needs and equipment</t>
        </is>
      </c>
      <c r="D35" s="17" t="inlineStr">
        <is>
          <t>AC2</t>
        </is>
      </c>
      <c r="E35" s="17" t="inlineStr">
        <is>
          <t>Positive</t>
        </is>
      </c>
      <c r="F35" s="17" t="inlineStr">
        <is>
          <t>npm run fixtures:spm87 has been run. 'SPM87 Hillside Workshop' (8 Oct 2027, 10:00-13:00, 50 attendees, accessibility: 'Two attendees use wheelchairs; step-free route needed') is in Safety review with an approved booking at SPM87 Hillside Studio (Theatre, seats 60, open 08:00-22:00), which is unavailable for maintenance on 8 Oct 2027 from 07:00 to 09:00, and a Reserved Handheld Wireless Mic. Logged in as Hana Yusof (hana.yusof@connectsphere.com / password123).</t>
        </is>
      </c>
      <c r="G35" s="17" t="inlineStr">
        <is>
          <t>Event: SPM87 Hillside Workshop (Safety review)
Venue: SPM87 Hillside Studio, Theatre, seats 60, open 08:00-22:00, maintenance 8 Oct 2027 07:00-09:00
Equipment: Handheld Wireless Mic, Reserved</t>
        </is>
      </c>
      <c r="H35" s="17" t="inlineStr">
        <is>
          <t>1. Click 'Safety Checks' in the sidebar
2. Click 'SPM87 Hillside Workshop' in the list
3. Click the 'Equipment' tab</t>
        </is>
      </c>
      <c r="I35" s="17" t="inlineStr">
        <is>
          <t>Step 2: The event opens with the status 'Safety review'. Expected attendance reads 50, the accessibility notes read 'Two attendees use wheelchairs; step-free route needed', and the 'Venue bookings' card shows 'SPM87 Hillside Studio (SPM87-STU) · Theatre · seats 60', its opening hours '08:00–22:00', and 'Unavailable 8 Oct 2027, 07:00–09:00 (Maintenance)'.
Step 3: The Equipment tab lists Handheld Wireless Mic with its quantity and the status 'Reserved'.</t>
        </is>
      </c>
      <c r="J35" s="7" t="n"/>
      <c r="K35" s="13" t="n"/>
      <c r="L35" s="7" t="n"/>
    </row>
    <row r="36" ht="168" customHeight="1" s="21">
      <c r="A36" s="17" t="n">
        <v>25</v>
      </c>
      <c r="B36" s="17" t="inlineStr">
        <is>
          <t>SPM-87-TC03</t>
        </is>
      </c>
      <c r="C36" s="17" t="inlineStr">
        <is>
          <t>The Safety Officer approves an event, which becomes Safety approved with the decision recorded</t>
        </is>
      </c>
      <c r="D36" s="17" t="inlineStr">
        <is>
          <t>AC3, AC7, AC10, AC11</t>
        </is>
      </c>
      <c r="E36" s="17" t="inlineStr">
        <is>
          <t>Positive</t>
        </is>
      </c>
      <c r="F36" s="17" t="inlineStr">
        <is>
          <t>THIS RUN: SPM-87-TC04 is not selected. Skip it, and run the fixture script once the selected cases that follow on from this one are done.
npm run fixtures:spm87 has been run. 'SPM87 Waterfront Gala' is in Safety review, submitted by Daniel Tan. Logged in as Hana Yusof (hana.yusof@connectsphere.com / password123). Note the date and time of step 5. This case changes the event - SPM-87-TC04 and TC05 read the result, so go straight to those and run npm run fixtures:spm87 after TC05.</t>
        </is>
      </c>
      <c r="G36" s="17" t="inlineStr">
        <is>
          <t>Event: SPM87 Waterfront Gala (Safety review)
Decision: Approve (no reason needed)</t>
        </is>
      </c>
      <c r="H36" s="17" t="inlineStr">
        <is>
          <t>1. Click 'Safety Checks' in the sidebar
2. Click 'SPM87 Waterfront Gala' in the list
3. Click 'Record safety decision'
4. Choose 'Approve'
5. Click 'Record decision'</t>
        </is>
      </c>
      <c r="I36" s="17" t="inlineStr">
        <is>
          <t>Step 3: A dialog headed 'Record safety decision' opens with the choices 'Approve', 'Request changes' and 'Reject'.
Step 4: No reason box is shown for Approve.
Step 5: The message 'Safety check approved. The coordinator has been notified.' is shown. The status badge changes to 'Safety approved', the 'Safety check' row reads 'Approved · decided by Hana Yusof, &lt;date and time of step 5&gt;', and the 'Record safety decision' button is gone.</t>
        </is>
      </c>
      <c r="J36" s="7" t="n"/>
      <c r="K36" s="13" t="n"/>
      <c r="L36" s="7" t="n"/>
    </row>
    <row r="37" ht="168" customHeight="1" s="21">
      <c r="A37" s="17" t="n">
        <v>26</v>
      </c>
      <c r="B37" s="17" t="inlineStr">
        <is>
          <t>SPM-87-TC06</t>
        </is>
      </c>
      <c r="C37" s="17" t="inlineStr">
        <is>
          <t>Requesting changes returns the event to Planning with the changes required recorded for the Coordinator</t>
        </is>
      </c>
      <c r="D37" s="17" t="inlineStr">
        <is>
          <t>AC5, AC8, AC10</t>
        </is>
      </c>
      <c r="E37" s="17" t="inlineStr">
        <is>
          <t>Positive</t>
        </is>
      </c>
      <c r="F37" s="17" t="inlineStr">
        <is>
          <t>npm run fixtures:spm87 has been run. 'SPM87 Lakeside Conference' is in Safety review, assigned to Daniel Tan. Logged in as Hana Yusof (hana.yusof@connectsphere.com / password123). Note the date and time of step 6. This case changes the event - run npm run fixtures:spm87 afterwards.</t>
        </is>
      </c>
      <c r="G37" s="17" t="inlineStr">
        <is>
          <t>Event: SPM87 Lakeside Conference (Safety review)
Decision: Request changes
Changes required: Add a second fire marshal at the east exit.</t>
        </is>
      </c>
      <c r="H37" s="17" t="inlineStr">
        <is>
          <t>1. Click 'Safety Checks' in the sidebar
2. Click 'SPM87 Lakeside Conference' in the list
3. Click 'Record safety decision'
4. Choose 'Request changes'
5. Type 'Add a second fire marshal at the east exit.' in 'Changes required'
6. Click 'Record decision'
7. Click 'Log out' in the top bar
8. Log in as daniel.tan@connectsphere.com with password123
9. Click 'All Events' in the sidebar
10. Click 'SPM87 Lakeside Conference' in the list</t>
        </is>
      </c>
      <c r="I37" s="17" t="inlineStr">
        <is>
          <t>Step 4: A box labelled 'Changes required' appears.
Step 6: The message 'Changes requested. The event is back in Planning and the coordinator has been notified.' is shown, and the status badge changes to 'Planning'.
Step 10: Daniel sees the status 'Planning' and the 'Safety check' row 'Changes requested · decided by Hana Yusof, &lt;date and time of step 6&gt;. Changes required: Add a second fire marshal at the east exit.'</t>
        </is>
      </c>
      <c r="J37" s="7" t="n"/>
      <c r="K37" s="13" t="n"/>
      <c r="L37" s="7" t="n"/>
    </row>
    <row r="38" ht="168" customHeight="1" s="21">
      <c r="A38" s="17" t="n">
        <v>27</v>
      </c>
      <c r="B38" s="17" t="inlineStr">
        <is>
          <t>SPM-87-TC07</t>
        </is>
      </c>
      <c r="C38" s="17" t="inlineStr">
        <is>
          <t>Rejecting the safety arrangement returns the event to Planning with the reason recorded for the Coordinator</t>
        </is>
      </c>
      <c r="D38" s="17" t="inlineStr">
        <is>
          <t>AC4, AC8, AC10</t>
        </is>
      </c>
      <c r="E38" s="17" t="inlineStr">
        <is>
          <t>Positive</t>
        </is>
      </c>
      <c r="F38" s="17" t="inlineStr">
        <is>
          <t>npm run fixtures:spm87 has been run. 'SPM87 Rooftop Launch Party' is in Safety review, assigned to Daniel Tan. Logged in as Hana Yusof (hana.yusof@connectsphere.com / password123). Note the date and time of step 6. This case changes the event - run npm run fixtures:spm87 afterwards.</t>
        </is>
      </c>
      <c r="G38" s="17" t="inlineStr">
        <is>
          <t>Event: SPM87 Rooftop Launch Party (Safety review)
Decision: Reject
Reason: A single stairway cannot evacuate 300 people from the rooftop.</t>
        </is>
      </c>
      <c r="H38" s="17" t="inlineStr">
        <is>
          <t>1. Click 'Safety Checks' in the sidebar
2. Click 'SPM87 Rooftop Launch Party' in the list
3. Click 'Record safety decision'
4. Choose 'Reject'
5. Type 'A single stairway cannot evacuate 300 people from the rooftop.' in 'Reason for rejecting'
6. Click 'Record decision'
7. Click 'Log out' in the top bar
8. Log in as daniel.tan@connectsphere.com with password123
9. Click 'All Events' in the sidebar
10. Click 'SPM87 Rooftop Launch Party' in the list</t>
        </is>
      </c>
      <c r="I38" s="17" t="inlineStr">
        <is>
          <t>Step 4: A box labelled 'Reason for rejecting' appears.
Step 6: The message 'Safety arrangement rejected. The event is back in Planning and the coordinator has been notified.' is shown, and the status badge changes to 'Planning'.
Step 10: Daniel sees the status 'Planning' and the 'Safety check' row 'Rejected · decided by Hana Yusof, &lt;date and time of step 6&gt;. Reason: A single stairway cannot evacuate 300 people from the rooftop.'</t>
        </is>
      </c>
      <c r="J38" s="7" t="n"/>
      <c r="K38" s="13" t="n"/>
      <c r="L38" s="7" t="n"/>
    </row>
    <row r="39" ht="123" customHeight="1" s="21">
      <c r="A39" s="17" t="n">
        <v>28</v>
      </c>
      <c r="B39" s="17" t="inlineStr">
        <is>
          <t>SPM-87-TC12</t>
        </is>
      </c>
      <c r="C39" s="17" t="inlineStr">
        <is>
          <t>[BLOCKED by SPM-71] The assigned Coordinator is notified of the decision with the changes required</t>
        </is>
      </c>
      <c r="D39" s="17" t="inlineStr">
        <is>
          <t>AC9</t>
        </is>
      </c>
      <c r="E39" s="17" t="inlineStr">
        <is>
          <t>Positive</t>
        </is>
      </c>
      <c r="F39" s="17" t="inlineStr">
        <is>
          <t>npm run fixtures:spm87 has been run; 'SPM87 Lakeside Conference' is in Safety review, assigned to Daniel Tan. Logged in as Hana Yusof (hana.yusof@connectsphere.com / password123). This case changes the event - run npm run fixtures:spm87 afterwards.</t>
        </is>
      </c>
      <c r="G39" s="17" t="inlineStr">
        <is>
          <t>Event: SPM87 Lakeside Conference
Coordinator: daniel.tan@connectsphere.com</t>
        </is>
      </c>
      <c r="H39" s="17" t="inlineStr">
        <is>
          <t>1. Click 'Safety Checks' in the sidebar
2. Click 'SPM87 Lakeside Conference' in the list
3. Click 'Record safety decision', choose 'Request changes', type 'Add a second fire marshal at the east exit.' in 'Changes required' and click 'Record decision'
4. Click 'Log out' in the top bar
5. Log in as daniel.tan@connectsphere.com with password123
6. Click 'Notifications' in the sidebar</t>
        </is>
      </c>
      <c r="I39" s="17" t="inlineStr">
        <is>
          <t>Step 3: The message 'Changes requested. The event is back in Planning and the coordinator has been notified.' is shown.
Step 6: The Notifications list has a new notification titled 'Safety check: changes requested' for 'SPM87 Lakeside Conference', which includes 'Add a second fire marshal at the east exit.'</t>
        </is>
      </c>
      <c r="J39" s="7" t="n"/>
      <c r="K39" s="13" t="n"/>
      <c r="L39" s="7" t="n"/>
    </row>
    <row r="40" ht="20" customHeight="1" s="21">
      <c r="A40" s="6" t="inlineStr">
        <is>
          <t>SPM-88  Resolve Safety Check Outcome  -  run npm run fixtures:spm88 before its first case</t>
        </is>
      </c>
      <c r="B40" s="16" t="n"/>
      <c r="C40" s="16" t="n"/>
      <c r="D40" s="16" t="n"/>
      <c r="E40" s="16" t="n"/>
      <c r="F40" s="16" t="n"/>
      <c r="G40" s="16" t="n"/>
      <c r="H40" s="16" t="n"/>
      <c r="I40" s="16" t="n"/>
      <c r="J40" s="16" t="n"/>
      <c r="K40" s="16" t="n"/>
      <c r="L40" s="16" t="n"/>
    </row>
    <row r="41" ht="138" customHeight="1" s="21">
      <c r="A41" s="17" t="n">
        <v>29</v>
      </c>
      <c r="B41" s="17" t="inlineStr">
        <is>
          <t>SPM-88-TC03</t>
        </is>
      </c>
      <c r="C41" s="17" t="inlineStr">
        <is>
          <t>The Coordinator flags the arrangements a returned safety check affects, and nothing is cancelled or changed</t>
        </is>
      </c>
      <c r="D41" s="17" t="inlineStr">
        <is>
          <t>AC3</t>
        </is>
      </c>
      <c r="E41" s="17" t="inlineStr">
        <is>
          <t>Positive</t>
        </is>
      </c>
      <c r="F41" s="17" t="inlineStr">
        <is>
          <t>npm run fixtures:spm88 has been run. 'SPM88 Harbour Returned Forum' (latest safety check: changes requested) has an approved venue booking at SPM88 Harbour Studio and a Reserved Handheld Wireless Mic, neither flagged. Logged in as Daniel Tan (daniel.tan@connectsphere.com / password123). This case changes the event - SPM-88-TC04 continues from it, so go straight to TC04 and run npm run fixtures:spm88 after TC04.</t>
        </is>
      </c>
      <c r="G41" s="17" t="inlineStr">
        <is>
          <t>Event: SPM88 Harbour Returned Forum
Arrangements: SPM88 Harbour Studio booking (Approved), Handheld Wireless Mic (Reserved)</t>
        </is>
      </c>
      <c r="H41" s="17" t="inlineStr">
        <is>
          <t>1. Click 'All Events' in the sidebar
2. Click 'SPM88 Harbour Returned Forum' in the list
3. Click 'Flag arrangements for review'
4. Tick 'Venue: SPM88 Harbour Studio' and 'Equipment: Handheld Wireless Mic'
5. Click 'Flag for review'
6. Click the 'Readiness' tab</t>
        </is>
      </c>
      <c r="I41" s="17" t="inlineStr">
        <is>
          <t>Step 3: A dialog headed 'Flag arrangements for review' lists the event's venue bookings and equipment, each with a tick box.
Step 5: The message '2 arrangements flagged for review. Nothing has been changed or cancelled.' is shown.
Step 6: Both rows are 'Outstanding' and say they were flagged because 'the Safety Officer returned the safety check'. The booking's status is still 'Approved' and the mic's is still 'Reserved'.</t>
        </is>
      </c>
      <c r="J41" s="7" t="n"/>
      <c r="K41" s="13" t="n"/>
      <c r="L41" s="7" t="n"/>
    </row>
    <row r="42" ht="183" customHeight="1" s="21">
      <c r="A42" s="17" t="n">
        <v>30</v>
      </c>
      <c r="B42" s="17" t="inlineStr">
        <is>
          <t>SPM-88-TC04</t>
        </is>
      </c>
      <c r="C42" s="17" t="inlineStr">
        <is>
          <t>After reviewing the flagged arrangements the Coordinator submits the event for a safety check again</t>
        </is>
      </c>
      <c r="D42" s="17" t="inlineStr">
        <is>
          <t>AC4</t>
        </is>
      </c>
      <c r="E42" s="17" t="inlineStr">
        <is>
          <t>Positive</t>
        </is>
      </c>
      <c r="F42" s="17" t="inlineStr">
        <is>
          <t>SPM-88-TC03 has just been run (the booking and the mic of 'SPM88 Harbour Returned Forum' are flagged) and the fixtures have NOT been reset since. Still logged in as Daniel Tan. Run npm run fixtures:spm88 after this case.</t>
        </is>
      </c>
      <c r="G42" s="17" t="inlineStr">
        <is>
          <t>Event: SPM88 Harbour Returned Forum (Planning, booking and mic flagged)</t>
        </is>
      </c>
      <c r="H42" s="17" t="inlineStr">
        <is>
          <t>1. Click the 'Overview' tab
2. Click 'Submit for safety check' and then 'Submit' in the dialog
3. Click 'Flagged Arrangements' in the sidebar
4. Click 'Keep booking' on the SPM88 Harbour Studio booking for 'SPM88 Harbour Returned Forum'
5. Click 'Keep reservation' on the Handheld Wireless Mic for 'SPM88 Harbour Returned Forum'
6. Click 'All Events' in the sidebar
7. Click 'SPM88 Harbour Returned Forum' in the list
8. Click 'Submit for safety check' and then 'Submit' in the dialog</t>
        </is>
      </c>
      <c r="I42" s="17" t="inlineStr">
        <is>
          <t>Step 2: Submission is refused, naming the flagged SPM88 Harbour Studio booking and Handheld Wireless Mic - flagged arrangements are reviewed before the event is checked again.
Step 5: Both are no longer listed as flagged.
Step 8: 'The event has been submitted for a safety check. The Safety Officer has been notified.' is shown, the status becomes 'Safety review', and the 'Safety check history' card now lists three submissions, the newest 'Awaiting review'.</t>
        </is>
      </c>
      <c r="J42" s="7" t="n"/>
      <c r="K42" s="13" t="n"/>
      <c r="L42" s="7" t="n"/>
    </row>
    <row r="43" ht="138" customHeight="1" s="21">
      <c r="A43" s="17" t="n">
        <v>31</v>
      </c>
      <c r="B43" s="17" t="inlineStr">
        <is>
          <t>SPM-88-TC06</t>
        </is>
      </c>
      <c r="C43" s="17" t="inlineStr">
        <is>
          <t>When the Safety Officer rejects the safety arrangement the event returns to Planning and the Coordinator sees why</t>
        </is>
      </c>
      <c r="D43" s="17" t="inlineStr">
        <is>
          <t>AC2, AC1</t>
        </is>
      </c>
      <c r="E43" s="17" t="inlineStr">
        <is>
          <t>Positive</t>
        </is>
      </c>
      <c r="F43" s="17" t="inlineStr">
        <is>
          <t>npm run fixtures:spm88 has been run. 'SPM88 Riverside Review' is in Safety review, assigned to Daniel Tan. Logged in as Safety Officer Hana Yusof (hana.yusof@connectsphere.com / password123). This case changes the event - run npm run fixtures:spm88 afterwards.</t>
        </is>
      </c>
      <c r="G43" s="17" t="inlineStr">
        <is>
          <t>Event: SPM88 Riverside Review (Safety review)
Reason: The river terrace has no barrier for 200 people.</t>
        </is>
      </c>
      <c r="H43" s="17" t="inlineStr">
        <is>
          <t>1. Click 'Safety Checks' in the sidebar
2. Click 'SPM88 Riverside Review' in the list
3. Click 'Record safety decision', choose 'Reject', type 'The river terrace has no barrier for 200 people.' in 'Reason for rejecting' and click 'Record decision'
4. Click 'Log out' in the top bar
5. Log in as daniel.tan@connectsphere.com with password123
6. Click 'All Events' in the sidebar
7. Click 'SPM88 Riverside Review' in the list</t>
        </is>
      </c>
      <c r="I43" s="17" t="inlineStr">
        <is>
          <t>Step 3: 'Safety arrangement rejected. The event is back in Planning and the coordinator has been notified.' is shown and the status becomes 'Planning'.
Step 6: 'SPM88 Riverside Review' is listed with the status 'Planning'.
Step 7: The 'Safety check' row reads 'Rejected · decided by Hana Yusof, &lt;today's date and time&gt;. Reason: The river terrace has no barrier for 200 people.', and a 'Flag arrangements for review' button is offered.</t>
        </is>
      </c>
      <c r="J43" s="7" t="n"/>
      <c r="K43" s="13" t="n"/>
      <c r="L43" s="7" t="n"/>
    </row>
    <row r="44" ht="168" customHeight="1" s="21">
      <c r="A44" s="17" t="n">
        <v>32</v>
      </c>
      <c r="B44" s="17" t="inlineStr">
        <is>
          <t>SPM-88-TC07</t>
        </is>
      </c>
      <c r="C44" s="17" t="inlineStr">
        <is>
          <t>A significant change to a Safety approved event removes the approval and returns it to Planning</t>
        </is>
      </c>
      <c r="D44" s="17" t="inlineStr">
        <is>
          <t>AC5</t>
        </is>
      </c>
      <c r="E44" s="17" t="inlineStr">
        <is>
          <t>Positive</t>
        </is>
      </c>
      <c r="F44" s="17" t="inlineStr">
        <is>
          <t>THIS RUN: SPM-88-TC08 is not selected. Skip it, and run the fixture script once the selected cases that follow on from this one are done.
npm run fixtures:spm88 has been run. 'SPM88 Approved Gala' is Safety approved (approved by Hana Yusof), expected attendance 60, assigned to Daniel Tan. Logged in as Daniel Tan (daniel.tan@connectsphere.com / password123). This case changes the event - SPM-88-TC08 continues from it, so go straight to TC08 and run npm run fixtures:spm88 after TC08.</t>
        </is>
      </c>
      <c r="G44" s="17" t="inlineStr">
        <is>
          <t>Event: SPM88 Approved Gala (Safety approved)
Expected attendance: 60 -&gt; 80 (a significant change)</t>
        </is>
      </c>
      <c r="H44" s="17" t="inlineStr">
        <is>
          <t>1. Click 'All Events' in the sidebar
2. Click 'SPM88 Approved Gala' in the list
3. Click 'Edit event information'
4. Change 'Expected attendance' from 60 to 80
5. Click 'Save changes'
6. Click 'Save and move to Planning' in the dialog
7. Click 'Back to event'
8. Click the 'Readiness' tab</t>
        </is>
      </c>
      <c r="I44" s="17" t="inlineStr">
        <is>
          <t>Step 5: A dialog headed 'Move this event back to Planning?' says SPM88 Approved Gala is Safety approved and that saving cancels the approval, moves it back to Planning, and it will need to be submitted for a safety check again.
Step 6: 'Event information updated. The event is back in Planning and needs to be submitted for a safety check again.' is shown.
Step 7: The status is 'Planning' and the 'Safety check' row reads 'Closed after a change on &lt;today's date and time&gt;: the expected attendance changed'.
Step 8: The Operational Safety Check row is 'Outstanding' and shows 'Not submitted'.</t>
        </is>
      </c>
      <c r="J44" s="7" t="n"/>
      <c r="K44" s="13" t="n"/>
      <c r="L44" s="7" t="n"/>
    </row>
    <row r="45" ht="138" customHeight="1" s="21">
      <c r="A45" s="17" t="n">
        <v>33</v>
      </c>
      <c r="B45" s="17" t="inlineStr">
        <is>
          <t>SPM-88-TC09</t>
        </is>
      </c>
      <c r="C45" s="17" t="inlineStr">
        <is>
          <t>An ordinary edit keeps the safety approval, and the Safety approved event confirms as before</t>
        </is>
      </c>
      <c r="D45" s="17" t="inlineStr">
        <is>
          <t>AC7, AC9</t>
        </is>
      </c>
      <c r="E45" s="17" t="inlineStr">
        <is>
          <t>Positive</t>
        </is>
      </c>
      <c r="F45" s="17" t="inlineStr">
        <is>
          <t>npm run fixtures:spm88 has been run. 'SPM88 Approved Seminar' is Safety approved, with its venue booking approved and its mic Reserved. Logged in as Daniel Tan (daniel.tan@connectsphere.com / password123). This case changes the event - run npm run fixtures:spm88 afterwards.</t>
        </is>
      </c>
      <c r="G45" s="17" t="inlineStr">
        <is>
          <t>Event: SPM88 Approved Seminar (Safety approved)
Description: Evening networking session after the seminar. (an ordinary edit)</t>
        </is>
      </c>
      <c r="H45" s="17" t="inlineStr">
        <is>
          <t>1. Click 'All Events' in the sidebar
2. Click 'SPM88 Approved Seminar' in the list
3. Click 'Edit event information'
4. Change 'Description' to 'Evening networking session after the seminar.'
5. Click 'Save changes'
6. Click 'Back to event'
7. Click 'Confirm event'
8. Click 'Confirm event' in the dialog</t>
        </is>
      </c>
      <c r="I45" s="17" t="inlineStr">
        <is>
          <t>Step 5: No 'Move this event back to Planning?' dialog appears; 'Event information updated.' is shown.
Step 6: The status is still 'Safety approved' and the 'Safety check' row still reads 'Approved · decided by Hana Yusof, …'.
Step 8: 'The event is confirmed. The organiser can now see the arrangements.' is shown and the status becomes 'Confirmed'.</t>
        </is>
      </c>
      <c r="J45" s="7" t="n"/>
      <c r="K45" s="13" t="n"/>
      <c r="L45" s="7" t="n"/>
    </row>
    <row r="46" ht="153" customHeight="1" s="21">
      <c r="A46" s="17" t="n">
        <v>34</v>
      </c>
      <c r="B46" s="17" t="inlineStr">
        <is>
          <t>SPM-88-TC10</t>
        </is>
      </c>
      <c r="C46" s="17" t="inlineStr">
        <is>
          <t>A significant equipment change while the event is in Safety review closes the pending check</t>
        </is>
      </c>
      <c r="D46" s="17" t="inlineStr">
        <is>
          <t>AC6</t>
        </is>
      </c>
      <c r="E46" s="17" t="inlineStr">
        <is>
          <t>Positive</t>
        </is>
      </c>
      <c r="F46" s="17" t="inlineStr">
        <is>
          <t>npm run fixtures:spm88 has been run. 'SPM88 Pending Showcase' is in Safety review with 2 Handheld Wireless Mics requested and Reserved. Logged in as Daniel Tan (daniel.tan@connectsphere.com / password123). This case changes the event - run npm run fixtures:spm88 afterwards.</t>
        </is>
      </c>
      <c r="G46" s="17" t="inlineStr">
        <is>
          <t>Event: SPM88 Pending Showcase (Safety review)
Handheld Wireless Mic: 2 -&gt; 3</t>
        </is>
      </c>
      <c r="H46" s="17" t="inlineStr">
        <is>
          <t>1. Click 'All Events' in the sidebar
2. Click 'SPM88 Pending Showcase' in the list
3. Click the 'Equipment' tab
4. Change the Handheld Wireless Mic quantity from 2 to 3 and save it
5. Click 'Continue' in the dialog
6. Click the 'Overview' tab
7. Click 'Log out' in the top bar
8. Log in as hana.yusof@connectsphere.com with password123
9. Click 'Safety Checks' in the sidebar</t>
        </is>
      </c>
      <c r="I46" s="17" t="inlineStr">
        <is>
          <t>Step 4: A dialog headed 'Move this event back to Planning?' says the pending safety check will be closed and the event will need to be submitted again.
Step 6: The status is 'Planning' and the 'Safety check' row reads 'Closed after a change on &lt;today's date and time&gt;: the equipment changed'.
Step 9: 'SPM88 Pending Showcase' is no longer listed - there is no check left to decide.</t>
        </is>
      </c>
      <c r="J46" s="7" t="n"/>
      <c r="K46" s="13" t="n"/>
      <c r="L46" s="7" t="n"/>
    </row>
    <row r="47" ht="20" customHeight="1" s="21">
      <c r="A47" s="6" t="inlineStr">
        <is>
          <t>SPM-35  Request Event Change  -  run npm run fixtures:spm35 before its first case</t>
        </is>
      </c>
      <c r="B47" s="16" t="n"/>
      <c r="C47" s="16" t="n"/>
      <c r="D47" s="16" t="n"/>
      <c r="E47" s="16" t="n"/>
      <c r="F47" s="16" t="n"/>
      <c r="G47" s="16" t="n"/>
      <c r="H47" s="16" t="n"/>
      <c r="I47" s="16" t="n"/>
      <c r="J47" s="16" t="n"/>
      <c r="K47" s="16" t="n"/>
      <c r="L47" s="16" t="n"/>
    </row>
    <row r="48" ht="228" customHeight="1" s="21">
      <c r="A48" s="17" t="n">
        <v>35</v>
      </c>
      <c r="B48" s="17" t="inlineStr">
        <is>
          <t>SPM-35-TC01</t>
        </is>
      </c>
      <c r="C48" s="17" t="inlineStr">
        <is>
          <t>The owning organiser requests new details for an Approved event, and the event lists the request with each field's current and proposed value while its own details stay the same</t>
        </is>
      </c>
      <c r="D48" s="17" t="inlineStr">
        <is>
          <t>AC1, AC2, AC6</t>
        </is>
      </c>
      <c r="E48" s="17" t="inlineStr">
        <is>
          <t>Positive</t>
        </is>
      </c>
      <c r="F48" s="17" t="inlineStr">
        <is>
          <t>Run npm run fixtures:spm35 before and after this case (it saves a change request). 'SPM35 Harbour Townhall' is Approved, organised by Rachel Ng (Meridian Financial Group), coordinator Daniel Tan, 12 Apr 2027, 09:00–12:00, with no change requests. Logged in as rachel.ng@meridianfina.com / password123 (Event Organiser).</t>
        </is>
      </c>
      <c r="G48" s="17" t="inlineStr">
        <is>
          <t>Event: SPM35 Harbour Townhall (Approved)
Event name: SPM35 Harbour Townhall -&gt; SPM35 Harbour Townhall and Awards
Description: Leadership update and Q&amp;A. -&gt; Leadership update, Q&amp;A and the staff awards.
Reason for the change: We are presenting the staff awards at the townhall.</t>
        </is>
      </c>
      <c r="H48" s="17" t="inlineStr">
        <is>
          <t>1. Click 'My Events' in the sidebar and open 'SPM35 Harbour Townhall'
2. Click 'Request a change'
3. Change 'Event name' to 'SPM35 Harbour Townhall and Awards'
4. Change 'Description' to 'Leadership update, Q&amp;A and the staff awards.'
5. Enter the reason in 'Reason for the change'
6. Click 'Send change request'
7. Click 'Back to event'</t>
        </is>
      </c>
      <c r="I48" s="17" t="inlineStr">
        <is>
          <t>Step 1: The event page shows the 'Approved' status badge and a 'Request a change' button.
Step 2: The 'Request a change' page opens with 'What do you need?' set to 'Change the event's details', the event's current details filled in, an 'Equipment changes' box and a required 'Reason for the change' box.
Step 6: A green alert 'Change request sent to your coordinator.' reads 'Nothing about the event changes until your coordinator processes the request.'
Step 7: The event page still shows the title 'SPM35 Harbour Townhall' and the 'Approved' status badge. A 'Change requests' card lists one 'Change of details' request with the badge 'Pending' and no 'Important' badge, 'Requested by Rachel Ng on' today's date, 'Reason: We are presenting the staff awards at the townhall.', and a table of Field, Current and Proposed with two rows: 'Event name' 'SPM35 Harbour Townhall' -&gt; 'SPM35 Harbour Townhall and Awards', and 'Description' 'Leadership update and Q&amp;A.' -&gt; 'Leadership update, Q&amp;A and the staff awards.'</t>
        </is>
      </c>
      <c r="J48" s="7" t="n"/>
      <c r="K48" s="13" t="n"/>
      <c r="L48" s="7" t="n"/>
    </row>
    <row r="49" ht="318" customHeight="1" s="21">
      <c r="A49" s="17" t="n">
        <v>36</v>
      </c>
      <c r="B49" s="17" t="inlineStr">
        <is>
          <t>SPM-35-TC06</t>
        </is>
      </c>
      <c r="C49" s="17" t="inlineStr">
        <is>
          <t>The assigned coordinator's pending change requests mark the ones changing the date and time, attendance, venue requirements or equipment as Important, and not one that only renames the event</t>
        </is>
      </c>
      <c r="D49" s="17" t="inlineStr">
        <is>
          <t>AC4, AC2</t>
        </is>
      </c>
      <c r="E49" s="17" t="inlineStr">
        <is>
          <t>Positive</t>
        </is>
      </c>
      <c r="F49" s="17" t="inlineStr">
        <is>
          <t>npm run fixtures:spm35 has been run. 'SPM35 Requests Showcase' (Confirmed, 10 May 2027, 09:00–17:00, 100 people, Theatre) has five pending change requests from Rachel Ng, one per row of the test data. Logged in as daniel.tan@connectsphere.com / password123, its assigned coordinator. Nothing is saved in this case.</t>
        </is>
      </c>
      <c r="G49" s="17" t="inlineStr">
        <is>
          <t>Event: SPM35 Requests Showcase
1. Event name SPM35 Requests Showcase -&gt; SPM35 Requests Showcase 2027 (reason: Adding the year so clients can tell it apart from last year's.)
2. Starts at 10 May 2027, 09:00 -&gt; 17 May 2027, 09:00 and Ends at 10 May 2027, 17:00 -&gt; 17 May 2027, 17:00 (reason: Our CEO is travelling that week.)
3. Expected attendance 100 -&gt; 150 (reason: Registrations are ahead of forecast.)
4. Preferred room layout Theatre -&gt; Banquet (reason: We are adding a seated lunch.)
5. Equipment: Two more handheld wireless microphones for the panel. (reason: The panel has grown to four speakers.)</t>
        </is>
      </c>
      <c r="H49" s="17" t="inlineStr">
        <is>
          <t>1. Click 'Change Requests' in the sidebar</t>
        </is>
      </c>
      <c r="I49" s="17" t="inlineStr">
        <is>
          <t>Step 1: The 'Change Requests' page lists the five requests for 'SPM35 Requests Showcase', each 'Pending' and each showing its reason. The request with reason 'Adding the year so clients can tell it apart from last year's.' has no 'Important' badge and shows 'Event name' 'SPM35 Requests Showcase' -&gt; 'SPM35 Requests Showcase 2027'. The other four each have an 'Important' badge: 'Starts at' '10 May 2027, 09:00' -&gt; '17 May 2027, 09:00' and 'Ends at' '10 May 2027, 17:00' -&gt; '17 May 2027, 17:00' (Affects existing arrangements: Date and time); 'Expected attendance' '100' -&gt; '150' (Expected attendance); 'Preferred room layout' 'Theatre' -&gt; 'Banquet' (Venue requirements); and 'Equipment: Two more handheld wireless microphones for the panel.' (Equipment requirements).</t>
        </is>
      </c>
      <c r="J49" s="7" t="n"/>
      <c r="K49" s="13" t="n"/>
      <c r="L49" s="7" t="n"/>
    </row>
    <row r="50" ht="258" customHeight="1" s="21">
      <c r="A50" s="17" t="n">
        <v>37</v>
      </c>
      <c r="B50" s="17" t="inlineStr">
        <is>
          <t>SPM-35-TC08</t>
        </is>
      </c>
      <c r="C50" s="17" t="inlineStr">
        <is>
          <t>The organiser asks for a Confirmed event to be postponed and then cancelled, and the event stays Confirmed with both requests waiting for the coordinator</t>
        </is>
      </c>
      <c r="D50" s="17" t="inlineStr">
        <is>
          <t>AC5, AC3</t>
        </is>
      </c>
      <c r="E50" s="17" t="inlineStr">
        <is>
          <t>Positive</t>
        </is>
      </c>
      <c r="F50" s="17" t="inlineStr">
        <is>
          <t>Run npm run fixtures:spm35 before and after this case (it saves two change requests). 'SPM35 Marina Client Forum' is Confirmed, organised by Rachel Ng, coordinator Daniel Tan, with no change requests. Logged in as rachel.ng@meridianfina.com / password123.</t>
        </is>
      </c>
      <c r="G50" s="17" t="inlineStr">
        <is>
          <t>Event: SPM35 Marina Client Forum (Confirmed)
Postponement reason: Our keynote speaker is unwell; we will set a new date once they recover.
Cancellation reason: The client has withdrawn its sponsorship.</t>
        </is>
      </c>
      <c r="H50" s="17" t="inlineStr">
        <is>
          <t>1. Click 'My Events' in the sidebar and open 'SPM35 Marina Client Forum'
2. Click 'Request a change'
3. Choose 'Postpone the event' in 'What do you need?'
4. Enter the postponement reason in 'Reason for the change' and click 'Send change request'
5. Click 'Back to event'
6. Click 'Request a change'
7. Choose 'Cancel the event' in 'What do you need?'
8. Click 'Send change request' with 'Reason for the change' left empty
9. Enter the cancellation reason in 'Reason for the change' and click 'Send change request'
10. Click 'Back to event'</t>
        </is>
      </c>
      <c r="I50" s="17" t="inlineStr">
        <is>
          <t>Step 3: The event's details, 'Equipment changes' and the fields under them are hidden. A note reads 'Your coordinator decides whether to postpone the event. It stays Confirmed until then.' 'Reason for the change' is still shown and required.
Step 4: 'Change request sent to your coordinator.' is shown.
Step 5: The status badge still reads 'Confirmed'. The 'Change requests' card lists a 'Postponement' request, 'Pending', with 'Reason: Our keynote speaker is unwell; we will set a new date once they recover.' and no table of fields.
Step 7: A note reads 'Your coordinator decides whether to cancel the event. It stays Confirmed until then.'
Step 8: 'Give a reason for the change.' appears under 'Reason for the change' and nothing is sent.
Step 9: 'Change request sent to your coordinator.' is shown.
Step 10: The status badge still reads 'Confirmed'. The 'Change requests' card lists a 'Cancellation' request, 'Pending', with 'Reason: The client has withdrawn its sponsorship.', above the 'Postponement' request.</t>
        </is>
      </c>
      <c r="J50" s="7" t="n"/>
      <c r="K50" s="13" t="n"/>
      <c r="L50" s="7" t="n"/>
    </row>
    <row r="51" ht="20" customHeight="1" s="21">
      <c r="A51" s="6" t="inlineStr">
        <is>
          <t>SPM-32  Process Event Change Request  -  run npm run fixtures:spm32 before its first case</t>
        </is>
      </c>
      <c r="B51" s="16" t="n"/>
      <c r="C51" s="16" t="n"/>
      <c r="D51" s="16" t="n"/>
      <c r="E51" s="16" t="n"/>
      <c r="F51" s="16" t="n"/>
      <c r="G51" s="16" t="n"/>
      <c r="H51" s="16" t="n"/>
      <c r="I51" s="16" t="n"/>
      <c r="J51" s="16" t="n"/>
      <c r="K51" s="16" t="n"/>
      <c r="L51" s="16" t="n"/>
    </row>
    <row r="52" ht="183" customHeight="1" s="21">
      <c r="A52" s="17" t="n">
        <v>38</v>
      </c>
      <c r="B52" s="17" t="inlineStr">
        <is>
          <t>SPM-32-TC01</t>
        </is>
      </c>
      <c r="C52" s="17" t="inlineStr">
        <is>
          <t>The coordinator's Change Requests page lists the pending requests on their own events, each with a Review link, and not processed requests or another coordinator's</t>
        </is>
      </c>
      <c r="D52" s="17" t="inlineStr">
        <is>
          <t>AC1</t>
        </is>
      </c>
      <c r="E52" s="17" t="inlineStr">
        <is>
          <t>Positive</t>
        </is>
      </c>
      <c r="F52" s="17" t="inlineStr">
        <is>
          <t>npm run fixtures:spm32 has been run. Daniel Tan is the coordinator of every 'SPM32 …' event except 'SPM32 Other Coordinator Forum' (Priya Raj). 'SPM32 Processed Seminar' has only a request that was already processed. Logged in as daniel.tan@connectsphere.com / password123. Nothing is saved in this case.</t>
        </is>
      </c>
      <c r="G52" s="17" t="inlineStr">
        <is>
          <t>Coordinator: Daniel Tan
Pending, his: SPM32 Harbour Briefing, SPM32 Confirmed Client Gala, SPM32 Postponed Product Expo, SPM32 Advisers Workshop, SPM32 Cancellation Request Forum, SPM32 Called Off Dinner, SPM32 Postponement Request Talk
Not his: SPM32 Other Coordinator Forum (Priya Raj)
Processed: SPM32 Processed Seminar</t>
        </is>
      </c>
      <c r="H52" s="17" t="inlineStr">
        <is>
          <t>1. Click 'Change Requests' in the sidebar</t>
        </is>
      </c>
      <c r="I52" s="17" t="inlineStr">
        <is>
          <t>Step 1: The 'Change Requests' page lists a pending request for each of the seven events of the test data, each with the badge 'Pending' and a 'Review' link. 'SPM32 Processed Seminar' and 'SPM32 Other Coordinator Forum' are not listed.</t>
        </is>
      </c>
      <c r="J52" s="7" t="n"/>
      <c r="K52" s="13" t="n"/>
      <c r="L52" s="7" t="n"/>
    </row>
    <row r="53" ht="183" customHeight="1" s="21">
      <c r="A53" s="17" t="n">
        <v>39</v>
      </c>
      <c r="B53" s="17" t="inlineStr">
        <is>
          <t>SPM-32-TC03</t>
        </is>
      </c>
      <c r="C53" s="17" t="inlineStr">
        <is>
          <t>The assigned coordinator approves some fields of a change request and rejects another with a reason, and only the approved fields change on the event</t>
        </is>
      </c>
      <c r="D53" s="17" t="inlineStr">
        <is>
          <t>AC2, AC3, AC4</t>
        </is>
      </c>
      <c r="E53" s="17" t="inlineStr">
        <is>
          <t>Positive</t>
        </is>
      </c>
      <c r="F53" s="17" t="inlineStr">
        <is>
          <t>Run npm run fixtures:spm32 before this case. 'SPM32 Harbour Briefing' (Planning, 80 people) has a pending change request from Rachel Ng for three fields. Logged in as daniel.tan@connectsphere.com / password123. SPM-32-TC04 continues from this case, so go straight to it and run npm run fixtures:spm32 after it.</t>
        </is>
      </c>
      <c r="G53" s="17" t="inlineStr">
        <is>
          <t>Event: SPM32 Harbour Briefing
Event name: SPM32 Harbour Briefing -&gt; SPM32 Harbour Briefing and Lunch (reject; reason: The invitations have already gone out under the current name.)
Expected attendance: 80 -&gt; 110 (approve)
Description: Quarterly briefing for wealth clients. -&gt; Quarterly briefing with a networking lunch. (approve)</t>
        </is>
      </c>
      <c r="H53" s="17" t="inlineStr">
        <is>
          <t>1. Click 'Change Requests' in the sidebar
2. Click 'Review' on the request for 'SPM32 Harbour Briefing'
3. For 'Event name', choose 'Reject' and enter the reason
4. For 'Expected attendance' and 'Description', choose 'Approve'
5. Click 'Save decision'
6. Click 'Back to event'</t>
        </is>
      </c>
      <c r="I53" s="17" t="inlineStr">
        <is>
          <t>Step 2: The 'Review change request' page shows the request's reason 'More clients have confirmed and we are adding lunch.' and one row per field - Event name, Description, Expected attendance - each with its current and proposed value and the choices 'Approve' and 'Reject', with 'Approve all', 'Reject all' and 'Save decision'.
Step 3: A 'Reason for rejecting' box appears under Event name.
Step 5: A green alert 'Change request processed.' is shown with the badge 'Partly approved', and each field's outcome: Event name 'Rejected', Expected attendance and Description 'Approved'.
Step 6: The event's title is still 'SPM32 Harbour Briefing'. Expected attendance reads 110 and the description 'Quarterly briefing with a networking lunch.'</t>
        </is>
      </c>
      <c r="J53" s="7" t="n"/>
      <c r="K53" s="13" t="n"/>
      <c r="L53" s="7" t="n"/>
    </row>
    <row r="54" ht="93" customHeight="1" s="21">
      <c r="A54" s="17" t="n">
        <v>40</v>
      </c>
      <c r="B54" s="17" t="inlineStr">
        <is>
          <t>SPM-32-TC04</t>
        </is>
      </c>
      <c r="C54" s="17" t="inlineStr">
        <is>
          <t>The organiser who raised a partly approved request sees each field's outcome and the reason for the rejected one</t>
        </is>
      </c>
      <c r="D54" s="17" t="inlineStr">
        <is>
          <t>AC3, AC7</t>
        </is>
      </c>
      <c r="E54" s="17" t="inlineStr">
        <is>
          <t>Positive</t>
        </is>
      </c>
      <c r="F54" s="17" t="inlineStr">
        <is>
          <t>SPM-32-TC03 has just been run (the request on 'SPM32 Harbour Briefing' partly approved by Daniel Tan) and the fixtures have NOT been reset since. Run npm run fixtures:spm32 after this case.</t>
        </is>
      </c>
      <c r="G54" s="17" t="inlineStr">
        <is>
          <t>Organiser: Rachel Ng
Event: SPM32 Harbour Briefing, request partly approved in SPM-32-TC03</t>
        </is>
      </c>
      <c r="H54" s="17" t="inlineStr">
        <is>
          <t>1. Click 'Change Requests' in the sidebar
2. Log out, then log in as rachel.ng@meridianfina.com / password123
3. Click 'My Events' in the sidebar and open 'SPM32 Harbour Briefing'</t>
        </is>
      </c>
      <c r="I54" s="17" t="inlineStr">
        <is>
          <t>Step 1: The request for 'SPM32 Harbour Briefing' is no longer listed.
Step 3: The 'Change requests' card lists the request with the badge 'Partly approved' and 'Processed by Daniel Tan on' today's date. Its table has an Outcome column: Event name 'Rejected: The invitations have already gone out under the current name.', Expected attendance 'Approved', Description 'Approved'. There is no 'Review' link.</t>
        </is>
      </c>
      <c r="J54" s="7" t="n"/>
      <c r="K54" s="13" t="n"/>
      <c r="L54" s="7" t="n"/>
    </row>
    <row r="55" ht="108" customHeight="1" s="21">
      <c r="A55" s="17" t="n">
        <v>41</v>
      </c>
      <c r="B55" s="17" t="inlineStr">
        <is>
          <t>SPM-32-TC06</t>
        </is>
      </c>
      <c r="C55" s="17" t="inlineStr">
        <is>
          <t>Rejecting every change of a request leaves the event's information exactly as it was</t>
        </is>
      </c>
      <c r="D55" s="17" t="inlineStr">
        <is>
          <t>AC2, AC6</t>
        </is>
      </c>
      <c r="E55" s="17" t="inlineStr">
        <is>
          <t>Positive</t>
        </is>
      </c>
      <c r="F55" s="17" t="inlineStr">
        <is>
          <t>Run npm run fixtures:spm32 before and after this case (it saves a decision). 'SPM32 Advisers Workshop' (Approved, Classroom, no special requirements) has a pending change request for Preferred room layout (Classroom -&gt; U shape) and Anything else about the space. Logged in as daniel.tan@connectsphere.com / password123.</t>
        </is>
      </c>
      <c r="G55" s="17" t="inlineStr">
        <is>
          <t>Event: SPM32 Advisers Workshop
Preferred room layout reason: The room booked can't be set up in a U shape.
Anything else about the space reason: Whiteboards are not available in that room.</t>
        </is>
      </c>
      <c r="H55" s="17" t="inlineStr">
        <is>
          <t>1. Click 'Change Requests' in the sidebar
2. Click 'Review' on the request for 'SPM32 Advisers Workshop'
3. Click 'Reject all'
4. Enter a reason for each of the two changes
5. Click 'Save decision'
6. Click 'Back to event'</t>
        </is>
      </c>
      <c r="I55" s="17" t="inlineStr">
        <is>
          <t>Step 3: Both changes are set to 'Reject' and each shows a 'Reason for rejecting' box.
Step 5: 'Change request processed.' is shown with the badge 'Rejected'.
Step 6: The event still shows 'Approved', and its Details show Preferred room layout 'Classroom' - unchanged. The 'Change requests' card shows the request as 'Rejected', with each reason in its Outcome column.</t>
        </is>
      </c>
      <c r="J55" s="7" t="n"/>
      <c r="K55" s="13" t="n"/>
      <c r="L55" s="7" t="n"/>
    </row>
    <row r="56" ht="168" customHeight="1" s="21">
      <c r="A56" s="17" t="n">
        <v>42</v>
      </c>
      <c r="B56" s="17" t="inlineStr">
        <is>
          <t>SPM-32-TC08</t>
        </is>
      </c>
      <c r="C56" s="17" t="inlineStr">
        <is>
          <t>Approving a new date for a Postponed event applies it and moves the event to Approved</t>
        </is>
      </c>
      <c r="D56" s="17" t="inlineStr">
        <is>
          <t>AC5, AC4</t>
        </is>
      </c>
      <c r="E56" s="17" t="inlineStr">
        <is>
          <t>Positive</t>
        </is>
      </c>
      <c r="F56" s="17" t="inlineStr">
        <is>
          <t>THIS RUN: SPM-32-TC09 is not selected. Skip it, and run the fixture script once the selected cases that follow on from this one are done.
Run npm run fixtures:spm32 before this case. 'SPM32 Postponed Product Expo' is Postponed, 26 Jul 2027, 10:00–16:00, with a pending change request moving it to 23 Aug 2027, 10:00–16:00. Logged in as daniel.tan@connectsphere.com / password123. SPM-32-TC09 continues from this case, so go straight to it and run npm run fixtures:spm32 after it.</t>
        </is>
      </c>
      <c r="G56" s="17" t="inlineStr">
        <is>
          <t>Event: SPM32 Postponed Product Expo (Postponed)
Starts at: 26 Jul 2027, 10:00 -&gt; 23 Aug 2027, 10:00
Ends at: 26 Jul 2027, 16:00 -&gt; 23 Aug 2027, 16:00</t>
        </is>
      </c>
      <c r="H56" s="17" t="inlineStr">
        <is>
          <t>1. Click 'Change Requests' in the sidebar
2. Click 'Review' on the request for 'SPM32 Postponed Product Expo'
3. Click 'Approve all'
4. Click 'Save decision'
5. Click 'Back to event'</t>
        </is>
      </c>
      <c r="I56" s="17" t="inlineStr">
        <is>
          <t>Step 2: The page notes 'This event is Postponed. Approving its new date moves it to Approved, ready for planning again.'
Step 4: 'Change request processed.' is shown with the badge 'Approved' and 'The event has moved from Postponed to Approved.'
Step 5: The event shows 'Approved' and When '23 Aug 2027, 10:00–16:00'.</t>
        </is>
      </c>
      <c r="J56" s="7" t="n"/>
      <c r="K56" s="13" t="n"/>
      <c r="L56" s="7" t="n"/>
    </row>
  </sheetData>
  <conditionalFormatting sqref="J5:J56">
    <cfRule type="cellIs" priority="1" operator="equal" dxfId="0">
      <formula>"Pass"</formula>
    </cfRule>
    <cfRule type="cellIs" priority="2" operator="equal" dxfId="1">
      <formula>"Fail"</formula>
    </cfRule>
    <cfRule type="cellIs" priority="3" operator="equal" dxfId="2">
      <formula>"Changed by design"</formula>
    </cfRule>
    <cfRule type="cellIs" priority="4" operator="equal" dxfId="3">
      <formula>"Blocked"</formula>
    </cfRule>
  </conditionalFormatting>
  <dataValidations count="1">
    <dataValidation sqref="J5:J56" showDropDown="0" showInputMessage="0" showErrorMessage="0" allowBlank="1" type="list">
      <formula1>"Pass,Fail,Changed by design,Blocked"</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J142"/>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4" customWidth="1" style="21" min="1" max="1"/>
    <col width="9" customWidth="1" style="21" min="2" max="2"/>
    <col width="12" customWidth="1" style="21" min="3" max="3"/>
    <col width="46" customWidth="1" style="21" min="4" max="4"/>
    <col width="10" customWidth="1" style="21" min="5" max="5"/>
    <col width="13" customWidth="1" style="21" min="6" max="6"/>
    <col width="70" customWidth="1" style="21" min="7" max="7"/>
    <col width="32" customWidth="1" style="21" min="8" max="8"/>
    <col width="30" customWidth="1" style="21" min="9" max="9"/>
    <col width="10" customWidth="1" style="21" min="10" max="10"/>
    <col width="8.710000000000001" customWidth="1" style="21" min="11" max="26"/>
  </cols>
  <sheetData>
    <row r="1">
      <c r="A1" s="1" t="inlineStr">
        <is>
          <t>Out-of-date test cases</t>
        </is>
      </c>
    </row>
    <row r="2">
      <c r="A2" s="2" t="inlineStr">
        <is>
          <t>Story test cases that a later story has changed. Updated and Retired come from docs/test-cases/DECOMMISSIONED.md and the story workbooks, so their owners have already handled them. A blank Updated? means the case still needs its owner to update it: add it here if your run finds another.</t>
        </is>
      </c>
    </row>
    <row r="4">
      <c r="A4" s="3" t="inlineStr">
        <is>
          <t>Test case ID</t>
        </is>
      </c>
      <c r="B4" s="3" t="inlineStr">
        <is>
          <t>Story</t>
        </is>
      </c>
      <c r="C4" s="3" t="inlineStr">
        <is>
          <t>Story owner</t>
        </is>
      </c>
      <c r="D4" s="3" t="inlineStr">
        <is>
          <t>Title</t>
        </is>
      </c>
      <c r="E4" s="3" t="inlineStr">
        <is>
          <t>Type</t>
        </is>
      </c>
      <c r="F4" s="3" t="inlineStr">
        <is>
          <t>Changed by</t>
        </is>
      </c>
      <c r="G4" s="3" t="inlineStr">
        <is>
          <t>What changed</t>
        </is>
      </c>
      <c r="H4" s="3" t="inlineStr">
        <is>
          <t>How we know</t>
        </is>
      </c>
      <c r="I4" s="3" t="inlineStr">
        <is>
          <t>In this regression</t>
        </is>
      </c>
      <c r="J4" s="3" t="inlineStr">
        <is>
          <t>Updated?</t>
        </is>
      </c>
    </row>
    <row r="5" ht="33" customHeight="1" s="21">
      <c r="A5" s="17" t="inlineStr">
        <is>
          <t>SPM-21-TC13</t>
        </is>
      </c>
      <c r="B5" s="17" t="inlineStr">
        <is>
          <t>SPM-21</t>
        </is>
      </c>
      <c r="C5" s="17" t="inlineStr">
        <is>
          <t>Jordan</t>
        </is>
      </c>
      <c r="D5" s="17" t="inlineStr">
        <is>
          <t>The navigation offered matches the role that is signed in</t>
        </is>
      </c>
      <c r="E5" s="17" t="inlineStr">
        <is>
          <t>Positive</t>
        </is>
      </c>
      <c r="F5" s="17" t="inlineStr">
        <is>
          <t>SPM-84</t>
        </is>
      </c>
      <c r="G5" s="17" t="inlineStr">
        <is>
          <t>Wording only: the case names the role, which is now shown as the Event Coordinator Lead; the AC it checks still holds.</t>
        </is>
      </c>
      <c r="H5" s="17" t="inlineStr">
        <is>
          <t>Recorded in DECOMMISSIONED.md, 2026-10-20</t>
        </is>
      </c>
      <c r="I5" s="17" t="inlineStr">
        <is>
          <t>No</t>
        </is>
      </c>
      <c r="J5" s="7" t="inlineStr">
        <is>
          <t>Updated</t>
        </is>
      </c>
    </row>
    <row r="6" ht="33" customHeight="1" s="21">
      <c r="A6" s="17" t="inlineStr">
        <is>
          <t>SPM-21-TC17</t>
        </is>
      </c>
      <c r="B6" s="17" t="inlineStr">
        <is>
          <t>SPM-21</t>
        </is>
      </c>
      <c r="C6" s="17" t="inlineStr">
        <is>
          <t>Jordan</t>
        </is>
      </c>
      <c r="D6" s="17" t="inlineStr">
        <is>
          <t>A stranger cannot give themselves a staff role when registering</t>
        </is>
      </c>
      <c r="E6" s="17" t="inlineStr">
        <is>
          <t>Negative</t>
        </is>
      </c>
      <c r="F6" s="17" t="inlineStr">
        <is>
          <t>SPM-84</t>
        </is>
      </c>
      <c r="G6" s="17" t="inlineStr">
        <is>
          <t>Wording only: the case names the role, which is now shown as the Event Coordinator Lead; the AC it checks still holds.</t>
        </is>
      </c>
      <c r="H6" s="17" t="inlineStr">
        <is>
          <t>Recorded in DECOMMISSIONED.md, 2026-10-20</t>
        </is>
      </c>
      <c r="I6" s="17" t="inlineStr">
        <is>
          <t>No</t>
        </is>
      </c>
      <c r="J6" s="7" t="inlineStr">
        <is>
          <t>Updated</t>
        </is>
      </c>
    </row>
    <row r="7" ht="33" customHeight="1" s="21">
      <c r="A7" s="17" t="inlineStr">
        <is>
          <t>SPM-22-TC12</t>
        </is>
      </c>
      <c r="B7" s="17" t="inlineStr">
        <is>
          <t>SPM-22</t>
        </is>
      </c>
      <c r="C7" s="17" t="inlineStr">
        <is>
          <t>Jordan</t>
        </is>
      </c>
      <c r="D7" s="17" t="inlineStr">
        <is>
          <t>An Operations Manager typing the Review Queue address is refused</t>
        </is>
      </c>
      <c r="E7" s="17" t="inlineStr">
        <is>
          <t>Negative</t>
        </is>
      </c>
      <c r="F7" s="17" t="inlineStr">
        <is>
          <t>SPM-84</t>
        </is>
      </c>
      <c r="G7" s="17" t="inlineStr">
        <is>
          <t>Wording only: the case names the role, which is now shown as the Event Coordinator Lead; the AC it checks still holds.</t>
        </is>
      </c>
      <c r="H7" s="17" t="inlineStr">
        <is>
          <t>Recorded in DECOMMISSIONED.md, 2026-10-20</t>
        </is>
      </c>
      <c r="I7" s="17" t="inlineStr">
        <is>
          <t>No</t>
        </is>
      </c>
      <c r="J7" s="7" t="inlineStr">
        <is>
          <t>Updated</t>
        </is>
      </c>
    </row>
    <row r="8" ht="33" customHeight="1" s="21">
      <c r="A8" s="17" t="inlineStr">
        <is>
          <t>SPM-22-TC14</t>
        </is>
      </c>
      <c r="B8" s="17" t="inlineStr">
        <is>
          <t>SPM-22</t>
        </is>
      </c>
      <c r="C8" s="17" t="inlineStr">
        <is>
          <t>Jordan</t>
        </is>
      </c>
      <c r="D8" s="17" t="inlineStr">
        <is>
          <t>An Attendee typing the Assignments address is refused</t>
        </is>
      </c>
      <c r="E8" s="17" t="inlineStr">
        <is>
          <t>Negative</t>
        </is>
      </c>
      <c r="F8" s="17" t="inlineStr">
        <is>
          <t>SPM-84</t>
        </is>
      </c>
      <c r="G8" s="17" t="inlineStr">
        <is>
          <t>Wording only: the case names the role, which is now shown as the Event Coordinator Lead; the AC it checks still holds.</t>
        </is>
      </c>
      <c r="H8" s="17" t="inlineStr">
        <is>
          <t>Recorded in DECOMMISSIONED.md, 2026-10-20</t>
        </is>
      </c>
      <c r="I8" s="17" t="inlineStr">
        <is>
          <t>No</t>
        </is>
      </c>
      <c r="J8" s="7" t="inlineStr">
        <is>
          <t>Updated</t>
        </is>
      </c>
    </row>
    <row r="9" ht="33" customHeight="1" s="21">
      <c r="A9" s="17" t="inlineStr">
        <is>
          <t>SPM-22-TC16</t>
        </is>
      </c>
      <c r="B9" s="17" t="inlineStr">
        <is>
          <t>SPM-22</t>
        </is>
      </c>
      <c r="C9" s="17" t="inlineStr">
        <is>
          <t>Jordan</t>
        </is>
      </c>
      <c r="D9" s="17" t="inlineStr">
        <is>
          <t>A permitted role opening a screen that is not built yet is told so, not shown a 404</t>
        </is>
      </c>
      <c r="E9" s="17" t="inlineStr">
        <is>
          <t>Positive</t>
        </is>
      </c>
      <c r="F9" s="17" t="inlineStr">
        <is>
          <t>SPM-84</t>
        </is>
      </c>
      <c r="G9" s="17" t="inlineStr">
        <is>
          <t>Wording only: the case names the role, which is now shown as the Event Coordinator Lead; the AC it checks still holds.</t>
        </is>
      </c>
      <c r="H9" s="17" t="inlineStr">
        <is>
          <t>Recorded in DECOMMISSIONED.md, 2026-10-20</t>
        </is>
      </c>
      <c r="I9" s="17" t="inlineStr">
        <is>
          <t>No</t>
        </is>
      </c>
      <c r="J9" s="7" t="inlineStr">
        <is>
          <t>Updated</t>
        </is>
      </c>
    </row>
    <row r="10" ht="33" customHeight="1" s="21">
      <c r="A10" s="17" t="inlineStr">
        <is>
          <t>SPM-22-TC19</t>
        </is>
      </c>
      <c r="B10" s="17" t="inlineStr">
        <is>
          <t>SPM-22</t>
        </is>
      </c>
      <c r="C10" s="17" t="inlineStr">
        <is>
          <t>Jordan</t>
        </is>
      </c>
      <c r="D10" s="17" t="inlineStr">
        <is>
          <t>The Operations Manager's navigation matches their permissions</t>
        </is>
      </c>
      <c r="E10" s="17" t="inlineStr">
        <is>
          <t>Positive</t>
        </is>
      </c>
      <c r="F10" s="17" t="inlineStr">
        <is>
          <t>SPM-84</t>
        </is>
      </c>
      <c r="G10" s="17" t="inlineStr">
        <is>
          <t>Wording only: the case names the role, which is now shown as the Event Coordinator Lead; the AC it checks still holds.</t>
        </is>
      </c>
      <c r="H10" s="17" t="inlineStr">
        <is>
          <t>Recorded in DECOMMISSIONED.md, 2026-10-20</t>
        </is>
      </c>
      <c r="I10" s="17" t="inlineStr">
        <is>
          <t>Yes - on Kayalvizhi's sheet</t>
        </is>
      </c>
      <c r="J10" s="7" t="inlineStr">
        <is>
          <t>Updated</t>
        </is>
      </c>
    </row>
    <row r="11" ht="33" customHeight="1" s="21">
      <c r="A11" s="17" t="inlineStr">
        <is>
          <t>SPM-22-TC20</t>
        </is>
      </c>
      <c r="B11" s="17" t="inlineStr">
        <is>
          <t>SPM-22</t>
        </is>
      </c>
      <c r="C11" s="17" t="inlineStr">
        <is>
          <t>Jordan</t>
        </is>
      </c>
      <c r="D11" s="17" t="inlineStr">
        <is>
          <t>Every item in the Operations Manager's sidebar opens without an error</t>
        </is>
      </c>
      <c r="E11" s="17" t="inlineStr">
        <is>
          <t>Boundary</t>
        </is>
      </c>
      <c r="F11" s="17" t="inlineStr">
        <is>
          <t>SPM-84</t>
        </is>
      </c>
      <c r="G11" s="17" t="inlineStr">
        <is>
          <t>Wording only: the case names the role, which is now shown as the Event Coordinator Lead; the AC it checks still holds.</t>
        </is>
      </c>
      <c r="H11" s="17" t="inlineStr">
        <is>
          <t>Recorded in DECOMMISSIONED.md, 2026-10-20</t>
        </is>
      </c>
      <c r="I11" s="17" t="inlineStr">
        <is>
          <t>No</t>
        </is>
      </c>
      <c r="J11" s="7" t="inlineStr">
        <is>
          <t>Updated</t>
        </is>
      </c>
    </row>
    <row r="12" ht="33" customHeight="1" s="21">
      <c r="A12" s="17" t="inlineStr">
        <is>
          <t>SPM-27-TC02</t>
        </is>
      </c>
      <c r="B12" s="17" t="inlineStr">
        <is>
          <t>SPM-27</t>
        </is>
      </c>
      <c r="C12" s="17" t="inlineStr">
        <is>
          <t>Sammi</t>
        </is>
      </c>
      <c r="D12" s="17" t="inlineStr">
        <is>
          <t>Event page status changes after another role acts on the event</t>
        </is>
      </c>
      <c r="E12" s="17" t="inlineStr">
        <is>
          <t>Positive</t>
        </is>
      </c>
      <c r="F12" s="17" t="inlineStr">
        <is>
          <t>SPM-84</t>
        </is>
      </c>
      <c r="G12" s="17" t="inlineStr">
        <is>
          <t>Wording only: the case names the role, which is now shown as the Event Coordinator Lead; the AC it checks still holds.</t>
        </is>
      </c>
      <c r="H12" s="17" t="inlineStr">
        <is>
          <t>Recorded in DECOMMISSIONED.md, 2026-10-20</t>
        </is>
      </c>
      <c r="I12" s="17" t="inlineStr">
        <is>
          <t>Yes - on Kayalvizhi's sheet</t>
        </is>
      </c>
      <c r="J12" s="7" t="inlineStr">
        <is>
          <t>Updated</t>
        </is>
      </c>
    </row>
    <row r="13" ht="33" customHeight="1" s="21">
      <c r="A13" s="17" t="inlineStr">
        <is>
          <t>SPM-27-TC06</t>
        </is>
      </c>
      <c r="B13" s="17" t="inlineStr">
        <is>
          <t>SPM-27</t>
        </is>
      </c>
      <c r="C13" s="17" t="inlineStr">
        <is>
          <t>Sammi</t>
        </is>
      </c>
      <c r="D13" s="17" t="inlineStr">
        <is>
          <t>Only the assigned coordinator is offered 'Record withdrawal'</t>
        </is>
      </c>
      <c r="E13" s="17" t="inlineStr">
        <is>
          <t>Negative</t>
        </is>
      </c>
      <c r="F13" s="17" t="inlineStr">
        <is>
          <t>SPM-84</t>
        </is>
      </c>
      <c r="G13" s="17" t="inlineStr">
        <is>
          <t>Wording only: the case names the role, which is now shown as the Event Coordinator Lead; the AC it checks still holds.</t>
        </is>
      </c>
      <c r="H13" s="17" t="inlineStr">
        <is>
          <t>Recorded in DECOMMISSIONED.md, 2026-10-20</t>
        </is>
      </c>
      <c r="I13" s="17" t="inlineStr">
        <is>
          <t>No</t>
        </is>
      </c>
      <c r="J13" s="7" t="inlineStr">
        <is>
          <t>Updated</t>
        </is>
      </c>
    </row>
    <row r="14" ht="33" customHeight="1" s="21">
      <c r="A14" s="17" t="inlineStr">
        <is>
          <t>SPM-28-TC04</t>
        </is>
      </c>
      <c r="B14" s="17" t="inlineStr">
        <is>
          <t>SPM-28</t>
        </is>
      </c>
      <c r="C14" s="17" t="inlineStr">
        <is>
          <t>Kristen</t>
        </is>
      </c>
      <c r="D14" s="17" t="inlineStr">
        <is>
          <t>Non-coordinator roles cannot open the Review Queue</t>
        </is>
      </c>
      <c r="E14" s="17" t="inlineStr">
        <is>
          <t>Negative</t>
        </is>
      </c>
      <c r="F14" s="17" t="inlineStr">
        <is>
          <t>SPM-84</t>
        </is>
      </c>
      <c r="G14" s="17" t="inlineStr">
        <is>
          <t>Wording only: the case names the role, which is now shown as the Event Coordinator Lead; the AC it checks still holds.</t>
        </is>
      </c>
      <c r="H14" s="17" t="inlineStr">
        <is>
          <t>Recorded in DECOMMISSIONED.md, 2026-10-20</t>
        </is>
      </c>
      <c r="I14" s="17" t="inlineStr">
        <is>
          <t>No</t>
        </is>
      </c>
      <c r="J14" s="7" t="inlineStr">
        <is>
          <t>Updated</t>
        </is>
      </c>
    </row>
    <row r="15" ht="33" customHeight="1" s="21">
      <c r="A15" s="17" t="inlineStr">
        <is>
          <t>SPM-30-TC01</t>
        </is>
      </c>
      <c r="B15" s="17" t="inlineStr">
        <is>
          <t>SPM-30</t>
        </is>
      </c>
      <c r="C15" s="17" t="inlineStr">
        <is>
          <t>Kristen</t>
        </is>
      </c>
      <c r="D15" s="17" t="inlineStr">
        <is>
          <t>Assignments page lists only submitted events with no coordinator</t>
        </is>
      </c>
      <c r="E15" s="17" t="inlineStr">
        <is>
          <t>Positive</t>
        </is>
      </c>
      <c r="F15" s="17" t="inlineStr">
        <is>
          <t>SPM-84</t>
        </is>
      </c>
      <c r="G15" s="17" t="inlineStr">
        <is>
          <t>Wording only: the case names the role, which is now shown as the Event Coordinator Lead; the AC it checks still holds.</t>
        </is>
      </c>
      <c r="H15" s="17" t="inlineStr">
        <is>
          <t>Recorded in DECOMMISSIONED.md, 2026-10-20</t>
        </is>
      </c>
      <c r="I15" s="17" t="inlineStr">
        <is>
          <t>No</t>
        </is>
      </c>
      <c r="J15" s="7" t="inlineStr">
        <is>
          <t>Updated</t>
        </is>
      </c>
    </row>
    <row r="16" ht="33" customHeight="1" s="21">
      <c r="A16" s="17" t="inlineStr">
        <is>
          <t>SPM-30-TC02</t>
        </is>
      </c>
      <c r="B16" s="17" t="inlineStr">
        <is>
          <t>SPM-30</t>
        </is>
      </c>
      <c r="C16" s="17" t="inlineStr">
        <is>
          <t>Kristen</t>
        </is>
      </c>
      <c r="D16" s="17" t="inlineStr">
        <is>
          <t>Ops Manager dashboard 'Awaiting assignment' shows unassigned submitted events</t>
        </is>
      </c>
      <c r="E16" s="17" t="inlineStr">
        <is>
          <t>Positive</t>
        </is>
      </c>
      <c r="F16" s="17" t="inlineStr">
        <is>
          <t>SPM-84</t>
        </is>
      </c>
      <c r="G16" s="17" t="inlineStr">
        <is>
          <t>Wording only: the case names the role, which is now shown as the Event Coordinator Lead; the AC it checks still holds.</t>
        </is>
      </c>
      <c r="H16" s="17" t="inlineStr">
        <is>
          <t>Recorded in DECOMMISSIONED.md, 2026-10-20</t>
        </is>
      </c>
      <c r="I16" s="17" t="inlineStr">
        <is>
          <t>No</t>
        </is>
      </c>
      <c r="J16" s="7" t="inlineStr">
        <is>
          <t>Updated</t>
        </is>
      </c>
    </row>
    <row r="17" ht="33" customHeight="1" s="21">
      <c r="A17" s="17" t="inlineStr">
        <is>
          <t>SPM-30-TC03</t>
        </is>
      </c>
      <c r="B17" s="17" t="inlineStr">
        <is>
          <t>SPM-30</t>
        </is>
      </c>
      <c r="C17" s="17" t="inlineStr">
        <is>
          <t>Kristen</t>
        </is>
      </c>
      <c r="D17" s="17" t="inlineStr">
        <is>
          <t>Non-Ops-Manager roles cannot open the Assignments page</t>
        </is>
      </c>
      <c r="E17" s="17" t="inlineStr">
        <is>
          <t>Negative</t>
        </is>
      </c>
      <c r="F17" s="17" t="inlineStr">
        <is>
          <t>SPM-84</t>
        </is>
      </c>
      <c r="G17" s="17" t="inlineStr">
        <is>
          <t>Wording only: the case names the role, which is now shown as the Event Coordinator Lead; the AC it checks still holds.</t>
        </is>
      </c>
      <c r="H17" s="17" t="inlineStr">
        <is>
          <t>Recorded in DECOMMISSIONED.md, 2026-10-20</t>
        </is>
      </c>
      <c r="I17" s="17" t="inlineStr">
        <is>
          <t>No</t>
        </is>
      </c>
      <c r="J17" s="7" t="inlineStr">
        <is>
          <t>Updated</t>
        </is>
      </c>
    </row>
    <row r="18" ht="33" customHeight="1" s="21">
      <c r="A18" s="17" t="inlineStr">
        <is>
          <t>SPM-30-TC04</t>
        </is>
      </c>
      <c r="B18" s="17" t="inlineStr">
        <is>
          <t>SPM-30</t>
        </is>
      </c>
      <c r="C18" s="17" t="inlineStr">
        <is>
          <t>Kristen</t>
        </is>
      </c>
      <c r="D18" s="17" t="inlineStr">
        <is>
          <t>Coordinator dropdown only lists Event Coordinators</t>
        </is>
      </c>
      <c r="E18" s="17" t="inlineStr">
        <is>
          <t>Negative</t>
        </is>
      </c>
      <c r="F18" s="17" t="inlineStr">
        <is>
          <t>SPM-84</t>
        </is>
      </c>
      <c r="G18" s="17" t="inlineStr">
        <is>
          <t>Wording only: the case names the role, which is now shown as the Event Coordinator Lead; the AC it checks still holds.</t>
        </is>
      </c>
      <c r="H18" s="17" t="inlineStr">
        <is>
          <t>Recorded in DECOMMISSIONED.md, 2026-10-20</t>
        </is>
      </c>
      <c r="I18" s="17" t="inlineStr">
        <is>
          <t>No</t>
        </is>
      </c>
      <c r="J18" s="7" t="inlineStr">
        <is>
          <t>Updated</t>
        </is>
      </c>
    </row>
    <row r="19" ht="33" customHeight="1" s="21">
      <c r="A19" s="17" t="inlineStr">
        <is>
          <t>SPM-30-TC15</t>
        </is>
      </c>
      <c r="B19" s="17" t="inlineStr">
        <is>
          <t>SPM-30</t>
        </is>
      </c>
      <c r="C19" s="17" t="inlineStr">
        <is>
          <t>Kristen</t>
        </is>
      </c>
      <c r="D19" s="17" t="inlineStr">
        <is>
          <t>Ops Manager reassigns an event from the Assignments page</t>
        </is>
      </c>
      <c r="E19" s="17" t="inlineStr">
        <is>
          <t>Positive</t>
        </is>
      </c>
      <c r="F19" s="17" t="inlineStr">
        <is>
          <t>SPM-84</t>
        </is>
      </c>
      <c r="G19" s="17" t="inlineStr">
        <is>
          <t>Wording only: the role is shown under its new name and the tab it opens was renamed; reassigning works as before.</t>
        </is>
      </c>
      <c r="H19" s="17" t="inlineStr">
        <is>
          <t>Recorded in DECOMMISSIONED.md, 2026-10-20</t>
        </is>
      </c>
      <c r="I19" s="17" t="inlineStr">
        <is>
          <t>No</t>
        </is>
      </c>
      <c r="J19" s="7" t="inlineStr">
        <is>
          <t>Updated</t>
        </is>
      </c>
    </row>
    <row r="20" ht="33" customHeight="1" s="21">
      <c r="A20" s="17" t="inlineStr">
        <is>
          <t>SPM-30-TC17</t>
        </is>
      </c>
      <c r="B20" s="17" t="inlineStr">
        <is>
          <t>SPM-30</t>
        </is>
      </c>
      <c r="C20" s="17" t="inlineStr">
        <is>
          <t>Kristen</t>
        </is>
      </c>
      <c r="D20" s="17" t="inlineStr">
        <is>
          <t>Completed, Cancelled and Rejected events cannot be reassigned</t>
        </is>
      </c>
      <c r="E20" s="17" t="inlineStr">
        <is>
          <t>Negative</t>
        </is>
      </c>
      <c r="F20" s="17" t="inlineStr">
        <is>
          <t>SPM-84</t>
        </is>
      </c>
      <c r="G20" s="17" t="inlineStr">
        <is>
          <t>Wording only: the tab it opens was renamed; completed, cancelled and rejected events are still on no tab, so the AC it checks still holds.</t>
        </is>
      </c>
      <c r="H20" s="17" t="inlineStr">
        <is>
          <t>Recorded in DECOMMISSIONED.md, 2026-10-20</t>
        </is>
      </c>
      <c r="I20" s="17" t="inlineStr">
        <is>
          <t>No</t>
        </is>
      </c>
      <c r="J20" s="7" t="inlineStr">
        <is>
          <t>Updated</t>
        </is>
      </c>
    </row>
    <row r="21" ht="48" customHeight="1" s="21">
      <c r="A21" s="17" t="inlineStr">
        <is>
          <t>SPM-31-TC02</t>
        </is>
      </c>
      <c r="B21" s="17" t="inlineStr">
        <is>
          <t>SPM-31</t>
        </is>
      </c>
      <c r="C21" s="17" t="inlineStr">
        <is>
          <t>Kristen</t>
        </is>
      </c>
      <c r="D21" s="17" t="inlineStr">
        <is>
          <t>A role with no ownership of the event can still view its Overview tab</t>
        </is>
      </c>
      <c r="E21" s="17" t="inlineStr">
        <is>
          <t>Positive</t>
        </is>
      </c>
      <c r="F21" s="17" t="inlineStr">
        <is>
          <t>SPM-94</t>
        </is>
      </c>
      <c r="G21" s="17" t="inlineStr">
        <is>
          <t>Wording only: its expected result says internal staff view "any non-draft event"; Venue Staff now see an event from Approved onwards. Its event is in Planning, so the steps and result still hold.</t>
        </is>
      </c>
      <c r="H21" s="17" t="inlineStr">
        <is>
          <t>Recorded in DECOMMISSIONED.md, 2026-10-23</t>
        </is>
      </c>
      <c r="I21" s="17" t="inlineStr">
        <is>
          <t>No</t>
        </is>
      </c>
      <c r="J21" s="7" t="inlineStr">
        <is>
          <t>Updated</t>
        </is>
      </c>
    </row>
    <row r="22" ht="48" customHeight="1" s="21">
      <c r="A22" s="17" t="inlineStr">
        <is>
          <t>SPM-32-TC02</t>
        </is>
      </c>
      <c r="B22" s="17" t="inlineStr">
        <is>
          <t>SPM-32</t>
        </is>
      </c>
      <c r="C22" s="17" t="inlineStr">
        <is>
          <t>Jordan</t>
        </is>
      </c>
      <c r="D22" s="17" t="inlineStr">
        <is>
          <t>Only the assigned coordinator is offered Review on a pending change request - not another coordinator or the organiser who raised it</t>
        </is>
      </c>
      <c r="E22" s="17" t="inlineStr">
        <is>
          <t>Negative</t>
        </is>
      </c>
      <c r="F22" s="17" t="inlineStr">
        <is>
          <t>SPM-84</t>
        </is>
      </c>
      <c r="G22" s="17" t="inlineStr">
        <is>
          <t>Still says 'Ops Manager'; the role is now shown as Event Coordinator Lead.</t>
        </is>
      </c>
      <c r="H22" s="17" t="inlineStr">
        <is>
          <t>Found by searching the case text; recorded in DECOMMISSIONED.md, 2026-10-30</t>
        </is>
      </c>
      <c r="I22" s="17" t="inlineStr">
        <is>
          <t>No</t>
        </is>
      </c>
      <c r="J22" s="7" t="inlineStr">
        <is>
          <t>Updated</t>
        </is>
      </c>
    </row>
    <row r="23" ht="63" customHeight="1" s="21">
      <c r="A23" s="17" t="inlineStr">
        <is>
          <t>SPM-32-TC12</t>
        </is>
      </c>
      <c r="B23" s="17" t="inlineStr">
        <is>
          <t>SPM-32</t>
        </is>
      </c>
      <c r="C23" s="17" t="inlineStr">
        <is>
          <t>Jordan</t>
        </is>
      </c>
      <c r="D23" s="17" t="inlineStr">
        <is>
          <t>A postponement request can only be rejected until postponing an event is built</t>
        </is>
      </c>
      <c r="E23" s="17" t="inlineStr">
        <is>
          <t>Negative</t>
        </is>
      </c>
      <c r="F23" s="17" t="inlineStr">
        <is>
          <t>SPM-38</t>
        </is>
      </c>
      <c r="G23" s="17" t="inlineStr">
        <is>
          <t>Wording only: the page still offers only Reject for a postponement request, but its note now says how to approve it ('To approve it, postpone the event: use Postpone event on its Overview.') instead of 'Postponing an event isn't available yet…'.</t>
        </is>
      </c>
      <c r="H23" s="17" t="inlineStr">
        <is>
          <t>Recorded in DECOMMISSIONED.md, 2026-10-27</t>
        </is>
      </c>
      <c r="I23" s="17" t="inlineStr">
        <is>
          <t>No</t>
        </is>
      </c>
      <c r="J23" s="7" t="inlineStr">
        <is>
          <t>Updated</t>
        </is>
      </c>
    </row>
    <row r="24" ht="48" customHeight="1" s="21">
      <c r="A24" s="17" t="inlineStr">
        <is>
          <t>SPM-33-TC01</t>
        </is>
      </c>
      <c r="B24" s="17" t="inlineStr">
        <is>
          <t>SPM-33</t>
        </is>
      </c>
      <c r="C24" s="17" t="inlineStr">
        <is>
          <t>Kristen</t>
        </is>
      </c>
      <c r="D24" s="17" t="inlineStr">
        <is>
          <t>Every venue booking, equipment line and the safety check are listed with their own status, and Confirm names what is outstanding</t>
        </is>
      </c>
      <c r="E24" s="17" t="inlineStr">
        <is>
          <t>Positive</t>
        </is>
      </c>
      <c r="F24" s="17" t="inlineStr">
        <is>
          <t>SPM-88, SPM-34</t>
        </is>
      </c>
      <c r="G24" s="17" t="inlineStr">
        <is>
          <t>Values and a precondition only: the AC it checks still holds, but confirmation now also needs an approved safety check.</t>
        </is>
      </c>
      <c r="H24" s="17" t="inlineStr">
        <is>
          <t>Recorded in DECOMMISSIONED.md, 2026-10-19</t>
        </is>
      </c>
      <c r="I24" s="17" t="inlineStr">
        <is>
          <t>Yes - on Jordan's sheet</t>
        </is>
      </c>
      <c r="J24" s="7" t="inlineStr">
        <is>
          <t>Updated</t>
        </is>
      </c>
    </row>
    <row r="25" ht="48" customHeight="1" s="21">
      <c r="A25" s="17" t="inlineStr">
        <is>
          <t>SPM-33-TC02</t>
        </is>
      </c>
      <c r="B25" s="17" t="inlineStr">
        <is>
          <t>SPM-33</t>
        </is>
      </c>
      <c r="C25" s="17" t="inlineStr">
        <is>
          <t>Kristen</t>
        </is>
      </c>
      <c r="D25" s="17" t="inlineStr">
        <is>
          <t>An event with no venue booking shows 'No venue booked', and nothing for equipment or registration it does not have</t>
        </is>
      </c>
      <c r="E25" s="17" t="inlineStr">
        <is>
          <t>Boundary</t>
        </is>
      </c>
      <c r="F25" s="17" t="inlineStr">
        <is>
          <t>SPM-88, SPM-34</t>
        </is>
      </c>
      <c r="G25" s="17" t="inlineStr">
        <is>
          <t>Values and a precondition only: the AC it checks still holds, but confirmation now also needs an approved safety check.</t>
        </is>
      </c>
      <c r="H25" s="17" t="inlineStr">
        <is>
          <t>Recorded in DECOMMISSIONED.md, 2026-10-19</t>
        </is>
      </c>
      <c r="I25" s="17" t="inlineStr">
        <is>
          <t>No</t>
        </is>
      </c>
      <c r="J25" s="7" t="inlineStr">
        <is>
          <t>Updated</t>
        </is>
      </c>
    </row>
    <row r="26" ht="33" customHeight="1" s="21">
      <c r="A26" s="17" t="inlineStr">
        <is>
          <t>SPM-33-TC03</t>
        </is>
      </c>
      <c r="B26" s="17" t="inlineStr">
        <is>
          <t>SPM-33</t>
        </is>
      </c>
      <c r="C26" s="17" t="inlineStr">
        <is>
          <t>Kristen</t>
        </is>
      </c>
      <c r="D26" s="17" t="inlineStr">
        <is>
          <t>A multi-session event shows which session each venue arrangement belongs to</t>
        </is>
      </c>
      <c r="E26" s="17" t="inlineStr">
        <is>
          <t>Boundary</t>
        </is>
      </c>
      <c r="F26" s="17" t="inlineStr">
        <is>
          <t>SPM-88, SPM-34</t>
        </is>
      </c>
      <c r="G26" s="17" t="inlineStr">
        <is>
          <t>Values and a precondition only: the AC it checks still holds, but confirmation now also needs an approved safety check.</t>
        </is>
      </c>
      <c r="H26" s="17" t="inlineStr">
        <is>
          <t>Recorded in DECOMMISSIONED.md, 2026-10-19</t>
        </is>
      </c>
      <c r="I26" s="17" t="inlineStr">
        <is>
          <t>No</t>
        </is>
      </c>
      <c r="J26" s="7" t="inlineStr">
        <is>
          <t>Updated</t>
        </is>
      </c>
    </row>
    <row r="27" ht="33" customHeight="1" s="21">
      <c r="A27" s="17" t="inlineStr">
        <is>
          <t>SPM-33-TC04</t>
        </is>
      </c>
      <c r="B27" s="17" t="inlineStr">
        <is>
          <t>SPM-33</t>
        </is>
      </c>
      <c r="C27" s="17" t="inlineStr">
        <is>
          <t>Kristen</t>
        </is>
      </c>
      <c r="D27" s="17" t="inlineStr">
        <is>
          <t>A second venue requested from the Venue tab is listed on its own, beside the first</t>
        </is>
      </c>
      <c r="E27" s="17" t="inlineStr">
        <is>
          <t>Positive</t>
        </is>
      </c>
      <c r="F27" s="17" t="inlineStr">
        <is>
          <t>SPM-88, SPM-34</t>
        </is>
      </c>
      <c r="G27" s="17" t="inlineStr">
        <is>
          <t>Values and a precondition only: the AC it checks still holds, but confirmation now also needs an approved safety check.</t>
        </is>
      </c>
      <c r="H27" s="17" t="inlineStr">
        <is>
          <t>Recorded in DECOMMISSIONED.md, 2026-10-19</t>
        </is>
      </c>
      <c r="I27" s="17" t="inlineStr">
        <is>
          <t>No</t>
        </is>
      </c>
      <c r="J27" s="7" t="inlineStr">
        <is>
          <t>Updated</t>
        </is>
      </c>
    </row>
    <row r="28" ht="48" customHeight="1" s="21">
      <c r="A28" s="17" t="inlineStr">
        <is>
          <t>SPM-33-TC05</t>
        </is>
      </c>
      <c r="B28" s="17" t="inlineStr">
        <is>
          <t>SPM-33</t>
        </is>
      </c>
      <c r="C28" s="17" t="inlineStr">
        <is>
          <t>Kristen</t>
        </is>
      </c>
      <c r="D28" s="17" t="inlineStr">
        <is>
          <t>A flagged venue booking and equipment reservation are shown as outstanding, with why, and prevent confirmation</t>
        </is>
      </c>
      <c r="E28" s="17" t="inlineStr">
        <is>
          <t>Positive</t>
        </is>
      </c>
      <c r="F28" s="17" t="inlineStr">
        <is>
          <t>SPM-88, SPM-34</t>
        </is>
      </c>
      <c r="G28" s="17" t="inlineStr">
        <is>
          <t>Values and a precondition only: the AC it checks still holds, but confirmation now also needs an approved safety check.</t>
        </is>
      </c>
      <c r="H28" s="17" t="inlineStr">
        <is>
          <t>Recorded in DECOMMISSIONED.md, 2026-10-19</t>
        </is>
      </c>
      <c r="I28" s="17" t="inlineStr">
        <is>
          <t>Yes - on Jordan's sheet</t>
        </is>
      </c>
      <c r="J28" s="7" t="inlineStr">
        <is>
          <t>Updated</t>
        </is>
      </c>
    </row>
    <row r="29" ht="33" customHeight="1" s="21">
      <c r="A29" s="17" t="inlineStr">
        <is>
          <t>SPM-33-TC07</t>
        </is>
      </c>
      <c r="B29" s="17" t="inlineStr">
        <is>
          <t>SPM-33</t>
        </is>
      </c>
      <c r="C29" s="17" t="inlineStr">
        <is>
          <t>Kristen</t>
        </is>
      </c>
      <c r="D29" s="17" t="inlineStr">
        <is>
          <t>A decided safety check shows the Safety Officer's decision</t>
        </is>
      </c>
      <c r="E29" s="17" t="inlineStr">
        <is>
          <t>Positive</t>
        </is>
      </c>
      <c r="F29" s="17" t="inlineStr">
        <is>
          <t>SPM-88, SPM-34</t>
        </is>
      </c>
      <c r="G29" s="17" t="inlineStr">
        <is>
          <t>Values and a precondition only: the AC it checks still holds, but confirmation now also needs an approved safety check.</t>
        </is>
      </c>
      <c r="H29" s="17" t="inlineStr">
        <is>
          <t>Recorded in DECOMMISSIONED.md, 2026-10-19</t>
        </is>
      </c>
      <c r="I29" s="17" t="inlineStr">
        <is>
          <t>No</t>
        </is>
      </c>
      <c r="J29" s="7" t="inlineStr">
        <is>
          <t>Updated</t>
        </is>
      </c>
    </row>
    <row r="30" ht="48" customHeight="1" s="21">
      <c r="A30" s="17" t="inlineStr">
        <is>
          <t>SPM-33-TC08</t>
        </is>
      </c>
      <c r="B30" s="17" t="inlineStr">
        <is>
          <t>SPM-33</t>
        </is>
      </c>
      <c r="C30" s="17" t="inlineStr">
        <is>
          <t>Kristen</t>
        </is>
      </c>
      <c r="D30" s="17" t="inlineStr">
        <is>
          <t>The assigned Coordinator marks an equipment line Technical Support cannot provide as not required</t>
        </is>
      </c>
      <c r="E30" s="17" t="inlineStr">
        <is>
          <t>Positive</t>
        </is>
      </c>
      <c r="F30" s="17" t="inlineStr">
        <is>
          <t>SPM-88, SPM-34</t>
        </is>
      </c>
      <c r="G30" s="17" t="inlineStr">
        <is>
          <t>Values and a precondition only: the AC it checks still holds, but confirmation now also needs an approved safety check.</t>
        </is>
      </c>
      <c r="H30" s="17" t="inlineStr">
        <is>
          <t>Recorded in DECOMMISSIONED.md, 2026-10-19</t>
        </is>
      </c>
      <c r="I30" s="17" t="inlineStr">
        <is>
          <t>Yes - on Jordan's sheet</t>
        </is>
      </c>
      <c r="J30" s="7" t="inlineStr">
        <is>
          <t>Updated</t>
        </is>
      </c>
    </row>
    <row r="31" ht="33" customHeight="1" s="21">
      <c r="A31" s="17" t="inlineStr">
        <is>
          <t>SPM-33-TC09</t>
        </is>
      </c>
      <c r="B31" s="17" t="inlineStr">
        <is>
          <t>SPM-33</t>
        </is>
      </c>
      <c r="C31" s="17" t="inlineStr">
        <is>
          <t>Kristen</t>
        </is>
      </c>
      <c r="D31" s="17" t="inlineStr">
        <is>
          <t>The Coordinator reverses a not-required decision and the arrangement is outstanding again</t>
        </is>
      </c>
      <c r="E31" s="17" t="inlineStr">
        <is>
          <t>Positive</t>
        </is>
      </c>
      <c r="F31" s="17" t="inlineStr">
        <is>
          <t>SPM-88, SPM-34</t>
        </is>
      </c>
      <c r="G31" s="17" t="inlineStr">
        <is>
          <t>Values and a precondition only: the AC it checks still holds, but confirmation now also needs an approved safety check.</t>
        </is>
      </c>
      <c r="H31" s="17" t="inlineStr">
        <is>
          <t>Recorded in DECOMMISSIONED.md, 2026-10-19</t>
        </is>
      </c>
      <c r="I31" s="17" t="inlineStr">
        <is>
          <t>Yes - on Jordan's sheet</t>
        </is>
      </c>
      <c r="J31" s="7" t="inlineStr">
        <is>
          <t>Updated</t>
        </is>
      </c>
    </row>
    <row r="32" ht="33" customHeight="1" s="21">
      <c r="A32" s="17" t="inlineStr">
        <is>
          <t>SPM-33-TC10</t>
        </is>
      </c>
      <c r="B32" s="17" t="inlineStr">
        <is>
          <t>SPM-33</t>
        </is>
      </c>
      <c r="C32" s="17" t="inlineStr">
        <is>
          <t>Kristen</t>
        </is>
      </c>
      <c r="D32" s="17" t="inlineStr">
        <is>
          <t>One of two venue bookings is marked as not required and the other is unchanged</t>
        </is>
      </c>
      <c r="E32" s="17" t="inlineStr">
        <is>
          <t>Positive</t>
        </is>
      </c>
      <c r="F32" s="17" t="inlineStr">
        <is>
          <t>SPM-88, SPM-34</t>
        </is>
      </c>
      <c r="G32" s="17" t="inlineStr">
        <is>
          <t>Values and a precondition only: the AC it checks still holds, but confirmation now also needs an approved safety check.</t>
        </is>
      </c>
      <c r="H32" s="17" t="inlineStr">
        <is>
          <t>Recorded in DECOMMISSIONED.md, 2026-10-19</t>
        </is>
      </c>
      <c r="I32" s="17" t="inlineStr">
        <is>
          <t>No</t>
        </is>
      </c>
      <c r="J32" s="7" t="inlineStr">
        <is>
          <t>Updated</t>
        </is>
      </c>
    </row>
    <row r="33" ht="33" customHeight="1" s="21">
      <c r="A33" s="17" t="inlineStr">
        <is>
          <t>SPM-33-TC11</t>
        </is>
      </c>
      <c r="B33" s="17" t="inlineStr">
        <is>
          <t>SPM-33</t>
        </is>
      </c>
      <c r="C33" s="17" t="inlineStr">
        <is>
          <t>Kristen</t>
        </is>
      </c>
      <c r="D33" s="17" t="inlineStr">
        <is>
          <t>Marking an event's only venue booking as not required still leaves it without a venue</t>
        </is>
      </c>
      <c r="E33" s="17" t="inlineStr">
        <is>
          <t>Boundary</t>
        </is>
      </c>
      <c r="F33" s="17" t="inlineStr">
        <is>
          <t>SPM-88, SPM-34</t>
        </is>
      </c>
      <c r="G33" s="17" t="inlineStr">
        <is>
          <t>Values and a precondition only: the AC it checks still holds, but confirmation now also needs an approved safety check.</t>
        </is>
      </c>
      <c r="H33" s="17" t="inlineStr">
        <is>
          <t>Recorded in DECOMMISSIONED.md, 2026-10-19</t>
        </is>
      </c>
      <c r="I33" s="17" t="inlineStr">
        <is>
          <t>No</t>
        </is>
      </c>
      <c r="J33" s="7" t="inlineStr">
        <is>
          <t>Updated</t>
        </is>
      </c>
    </row>
    <row r="34" ht="48" customHeight="1" s="21">
      <c r="A34" s="17" t="inlineStr">
        <is>
          <t>SPM-33-TC12</t>
        </is>
      </c>
      <c r="B34" s="17" t="inlineStr">
        <is>
          <t>SPM-33</t>
        </is>
      </c>
      <c r="C34" s="17" t="inlineStr">
        <is>
          <t>Kristen</t>
        </is>
      </c>
      <c r="D34" s="17" t="inlineStr">
        <is>
          <t>Registration that is enabled but has no capacity is outstanding until it is marked as not required</t>
        </is>
      </c>
      <c r="E34" s="17" t="inlineStr">
        <is>
          <t>Positive</t>
        </is>
      </c>
      <c r="F34" s="17" t="inlineStr">
        <is>
          <t>SPM-88, SPM-34</t>
        </is>
      </c>
      <c r="G34" s="17" t="inlineStr">
        <is>
          <t>Values and a precondition only: the AC it checks still holds, but confirmation now also needs an approved safety check.</t>
        </is>
      </c>
      <c r="H34" s="17" t="inlineStr">
        <is>
          <t>Recorded in DECOMMISSIONED.md, 2026-10-19</t>
        </is>
      </c>
      <c r="I34" s="17" t="inlineStr">
        <is>
          <t>Yes - on Jordan's sheet</t>
        </is>
      </c>
      <c r="J34" s="7" t="inlineStr">
        <is>
          <t>Updated</t>
        </is>
      </c>
    </row>
    <row r="35" ht="48" customHeight="1" s="21">
      <c r="A35" s="17" t="inlineStr">
        <is>
          <t>SPM-33-TC13</t>
        </is>
      </c>
      <c r="B35" s="17" t="inlineStr">
        <is>
          <t>SPM-33</t>
        </is>
      </c>
      <c r="C35" s="17" t="inlineStr">
        <is>
          <t>Kristen</t>
        </is>
      </c>
      <c r="D35" s="17" t="inlineStr">
        <is>
          <t>An equipment line that cannot be provided prevents confirmation until it is marked as not required</t>
        </is>
      </c>
      <c r="E35" s="17" t="inlineStr">
        <is>
          <t>Positive</t>
        </is>
      </c>
      <c r="F35" s="17" t="inlineStr">
        <is>
          <t>SPM-88, SPM-34</t>
        </is>
      </c>
      <c r="G35" s="17" t="inlineStr">
        <is>
          <t>Values and a precondition only: the AC it checks still holds, but confirmation now also needs an approved safety check.</t>
        </is>
      </c>
      <c r="H35" s="17" t="inlineStr">
        <is>
          <t>Recorded in DECOMMISSIONED.md, 2026-10-19</t>
        </is>
      </c>
      <c r="I35" s="17" t="inlineStr">
        <is>
          <t>No</t>
        </is>
      </c>
      <c r="J35" s="7" t="inlineStr">
        <is>
          <t>Updated</t>
        </is>
      </c>
    </row>
    <row r="36" ht="33" customHeight="1" s="21">
      <c r="A36" s="17" t="inlineStr">
        <is>
          <t>SPM-33-TC14</t>
        </is>
      </c>
      <c r="B36" s="17" t="inlineStr">
        <is>
          <t>SPM-33</t>
        </is>
      </c>
      <c r="C36" s="17" t="inlineStr">
        <is>
          <t>Kristen</t>
        </is>
      </c>
      <c r="D36" s="17" t="inlineStr">
        <is>
          <t>A Coordinator who is not the assigned one can view the arrangements but cannot mark them</t>
        </is>
      </c>
      <c r="E36" s="17" t="inlineStr">
        <is>
          <t>Negative</t>
        </is>
      </c>
      <c r="F36" s="17" t="inlineStr">
        <is>
          <t>SPM-88, SPM-34</t>
        </is>
      </c>
      <c r="G36" s="17" t="inlineStr">
        <is>
          <t>Values and a precondition only: the AC it checks still holds, but confirmation now also needs an approved safety check.</t>
        </is>
      </c>
      <c r="H36" s="17" t="inlineStr">
        <is>
          <t>Recorded in DECOMMISSIONED.md, 2026-10-19</t>
        </is>
      </c>
      <c r="I36" s="17" t="inlineStr">
        <is>
          <t>No</t>
        </is>
      </c>
      <c r="J36" s="7" t="inlineStr">
        <is>
          <t>Updated</t>
        </is>
      </c>
    </row>
    <row r="37" ht="33" customHeight="1" s="21">
      <c r="A37" s="17" t="inlineStr">
        <is>
          <t>SPM-33-TC17</t>
        </is>
      </c>
      <c r="B37" s="17" t="inlineStr">
        <is>
          <t>SPM-33</t>
        </is>
      </c>
      <c r="C37" s="17" t="inlineStr">
        <is>
          <t>Kristen</t>
        </is>
      </c>
      <c r="D37" s="17" t="inlineStr">
        <is>
          <t>A visitor who is not logged in is sent to log in</t>
        </is>
      </c>
      <c r="E37" s="17" t="inlineStr">
        <is>
          <t>Negative</t>
        </is>
      </c>
      <c r="F37" s="17" t="inlineStr">
        <is>
          <t>SPM-88, SPM-34</t>
        </is>
      </c>
      <c r="G37" s="17" t="inlineStr">
        <is>
          <t>Values and a precondition only: the AC it checks still holds, but confirmation now also needs an approved safety check.</t>
        </is>
      </c>
      <c r="H37" s="17" t="inlineStr">
        <is>
          <t>Recorded in DECOMMISSIONED.md, 2026-10-19</t>
        </is>
      </c>
      <c r="I37" s="17" t="inlineStr">
        <is>
          <t>No</t>
        </is>
      </c>
      <c r="J37" s="7" t="inlineStr">
        <is>
          <t>Updated</t>
        </is>
      </c>
    </row>
    <row r="38" ht="33" customHeight="1" s="21">
      <c r="A38" s="17" t="inlineStr">
        <is>
          <t>SPM-34-TC01</t>
        </is>
      </c>
      <c r="B38" s="17" t="inlineStr">
        <is>
          <t>SPM-34</t>
        </is>
      </c>
      <c r="C38" s="17" t="inlineStr">
        <is>
          <t>Jordan</t>
        </is>
      </c>
      <c r="D38" s="17" t="inlineStr">
        <is>
          <t>An event whose arrangements are all complete can be confirmed</t>
        </is>
      </c>
      <c r="E38" s="17" t="inlineStr">
        <is>
          <t>Positive</t>
        </is>
      </c>
      <c r="F38" s="17" t="inlineStr">
        <is>
          <t>SPM-88</t>
        </is>
      </c>
      <c r="G38" s="17" t="inlineStr">
        <is>
          <t>Values and a precondition only: the AC it checks still holds, but confirmation now also needs an approved safety check.</t>
        </is>
      </c>
      <c r="H38" s="17" t="inlineStr">
        <is>
          <t>Recorded in DECOMMISSIONED.md, 2026-10-19</t>
        </is>
      </c>
      <c r="I38" s="17" t="inlineStr">
        <is>
          <t>Yes - on Jordan's sheet</t>
        </is>
      </c>
      <c r="J38" s="7" t="inlineStr">
        <is>
          <t>Updated</t>
        </is>
      </c>
    </row>
    <row r="39" ht="33" customHeight="1" s="21">
      <c r="A39" s="17" t="inlineStr">
        <is>
          <t>SPM-34-TC02</t>
        </is>
      </c>
      <c r="B39" s="17" t="inlineStr">
        <is>
          <t>SPM-34</t>
        </is>
      </c>
      <c r="C39" s="17" t="inlineStr">
        <is>
          <t>Jordan</t>
        </is>
      </c>
      <c r="D39" s="17" t="inlineStr">
        <is>
          <t>The venue and equipment stay attached to the event after it is confirmed</t>
        </is>
      </c>
      <c r="E39" s="17" t="inlineStr">
        <is>
          <t>Positive</t>
        </is>
      </c>
      <c r="F39" s="17" t="inlineStr">
        <is>
          <t>SPM-88</t>
        </is>
      </c>
      <c r="G39" s="17" t="inlineStr">
        <is>
          <t>Values and a precondition only: the AC it checks still holds, but confirmation now also needs an approved safety check.</t>
        </is>
      </c>
      <c r="H39" s="17" t="inlineStr">
        <is>
          <t>Recorded in DECOMMISSIONED.md, 2026-10-19</t>
        </is>
      </c>
      <c r="I39" s="17" t="inlineStr">
        <is>
          <t>Yes - on Jordan's sheet</t>
        </is>
      </c>
      <c r="J39" s="7" t="inlineStr">
        <is>
          <t>Updated</t>
        </is>
      </c>
    </row>
    <row r="40" ht="33" customHeight="1" s="21">
      <c r="A40" s="17" t="inlineStr">
        <is>
          <t>SPM-34-TC03</t>
        </is>
      </c>
      <c r="B40" s="17" t="inlineStr">
        <is>
          <t>SPM-34</t>
        </is>
      </c>
      <c r="C40" s="17" t="inlineStr">
        <is>
          <t>Jordan</t>
        </is>
      </c>
      <c r="D40" s="17" t="inlineStr">
        <is>
          <t>The Organiser can see the confirmed event and its arrangements</t>
        </is>
      </c>
      <c r="E40" s="17" t="inlineStr">
        <is>
          <t>Positive</t>
        </is>
      </c>
      <c r="F40" s="17" t="inlineStr">
        <is>
          <t>SPM-88</t>
        </is>
      </c>
      <c r="G40" s="17" t="inlineStr">
        <is>
          <t>Values and a precondition only: the AC it checks still holds, but confirmation now also needs an approved safety check.</t>
        </is>
      </c>
      <c r="H40" s="17" t="inlineStr">
        <is>
          <t>Recorded in DECOMMISSIONED.md, 2026-10-19</t>
        </is>
      </c>
      <c r="I40" s="17" t="inlineStr">
        <is>
          <t>Yes - on Jordan's sheet</t>
        </is>
      </c>
      <c r="J40" s="7" t="inlineStr">
        <is>
          <t>Updated</t>
        </is>
      </c>
    </row>
    <row r="41" ht="33" customHeight="1" s="21">
      <c r="A41" s="17" t="inlineStr">
        <is>
          <t>SPM-34-TC04</t>
        </is>
      </c>
      <c r="B41" s="17" t="inlineStr">
        <is>
          <t>SPM-34</t>
        </is>
      </c>
      <c r="C41" s="17" t="inlineStr">
        <is>
          <t>Jordan</t>
        </is>
      </c>
      <c r="D41" s="17" t="inlineStr">
        <is>
          <t>An event that needs no equipment confirms on its venue alone</t>
        </is>
      </c>
      <c r="E41" s="17" t="inlineStr">
        <is>
          <t>Positive</t>
        </is>
      </c>
      <c r="F41" s="17" t="inlineStr">
        <is>
          <t>SPM-88</t>
        </is>
      </c>
      <c r="G41" s="17" t="inlineStr">
        <is>
          <t>Values and a precondition only: the AC it checks still holds, but confirmation now also needs an approved safety check.</t>
        </is>
      </c>
      <c r="H41" s="17" t="inlineStr">
        <is>
          <t>Recorded in DECOMMISSIONED.md, 2026-10-19</t>
        </is>
      </c>
      <c r="I41" s="17" t="inlineStr">
        <is>
          <t>Yes - on Jordan's sheet</t>
        </is>
      </c>
      <c r="J41" s="7" t="inlineStr">
        <is>
          <t>Updated</t>
        </is>
      </c>
    </row>
    <row r="42" ht="33" customHeight="1" s="21">
      <c r="A42" s="17" t="inlineStr">
        <is>
          <t>SPM-34-TC05</t>
        </is>
      </c>
      <c r="B42" s="17" t="inlineStr">
        <is>
          <t>SPM-34</t>
        </is>
      </c>
      <c r="C42" s="17" t="inlineStr">
        <is>
          <t>Jordan</t>
        </is>
      </c>
      <c r="D42" s="17" t="inlineStr">
        <is>
          <t>Equipment that Technical Support could only partly supply still counts as arranged</t>
        </is>
      </c>
      <c r="E42" s="17" t="inlineStr">
        <is>
          <t>Boundary</t>
        </is>
      </c>
      <c r="F42" s="17" t="inlineStr">
        <is>
          <t>SPM-88</t>
        </is>
      </c>
      <c r="G42" s="17" t="inlineStr">
        <is>
          <t>Values and a precondition only: the AC it checks still holds, but confirmation now also needs an approved safety check.</t>
        </is>
      </c>
      <c r="H42" s="17" t="inlineStr">
        <is>
          <t>Recorded in DECOMMISSIONED.md, 2026-10-19</t>
        </is>
      </c>
      <c r="I42" s="17" t="inlineStr">
        <is>
          <t>No</t>
        </is>
      </c>
      <c r="J42" s="7" t="inlineStr">
        <is>
          <t>Updated</t>
        </is>
      </c>
    </row>
    <row r="43" ht="33" customHeight="1" s="21">
      <c r="A43" s="17" t="inlineStr">
        <is>
          <t>SPM-34-TC06</t>
        </is>
      </c>
      <c r="B43" s="17" t="inlineStr">
        <is>
          <t>SPM-34</t>
        </is>
      </c>
      <c r="C43" s="17" t="inlineStr">
        <is>
          <t>Jordan</t>
        </is>
      </c>
      <c r="D43" s="17" t="inlineStr">
        <is>
          <t>An event with no venue cannot be confirmed, and the missing venue is named</t>
        </is>
      </c>
      <c r="E43" s="17" t="inlineStr">
        <is>
          <t>Negative</t>
        </is>
      </c>
      <c r="F43" s="17" t="inlineStr">
        <is>
          <t>SPM-88</t>
        </is>
      </c>
      <c r="G43" s="17" t="inlineStr">
        <is>
          <t>Values and a precondition only: the AC it checks still holds, but confirmation now also needs an approved safety check.</t>
        </is>
      </c>
      <c r="H43" s="17" t="inlineStr">
        <is>
          <t>Recorded in DECOMMISSIONED.md, 2026-10-19</t>
        </is>
      </c>
      <c r="I43" s="17" t="inlineStr">
        <is>
          <t>No</t>
        </is>
      </c>
      <c r="J43" s="7" t="inlineStr">
        <is>
          <t>Updated</t>
        </is>
      </c>
    </row>
    <row r="44" ht="33" customHeight="1" s="21">
      <c r="A44" s="17" t="inlineStr">
        <is>
          <t>SPM-34-TC07</t>
        </is>
      </c>
      <c r="B44" s="17" t="inlineStr">
        <is>
          <t>SPM-34</t>
        </is>
      </c>
      <c r="C44" s="17" t="inlineStr">
        <is>
          <t>Jordan</t>
        </is>
      </c>
      <c r="D44" s="17" t="inlineStr">
        <is>
          <t>A venue request still awaiting a decision does not count as an arrangement</t>
        </is>
      </c>
      <c r="E44" s="17" t="inlineStr">
        <is>
          <t>Boundary</t>
        </is>
      </c>
      <c r="F44" s="17" t="inlineStr">
        <is>
          <t>SPM-88</t>
        </is>
      </c>
      <c r="G44" s="17" t="inlineStr">
        <is>
          <t>Values and a precondition only: the AC it checks still holds, but confirmation now also needs an approved safety check.</t>
        </is>
      </c>
      <c r="H44" s="17" t="inlineStr">
        <is>
          <t>Recorded in DECOMMISSIONED.md, 2026-10-19</t>
        </is>
      </c>
      <c r="I44" s="17" t="inlineStr">
        <is>
          <t>No</t>
        </is>
      </c>
      <c r="J44" s="7" t="inlineStr">
        <is>
          <t>Updated</t>
        </is>
      </c>
    </row>
    <row r="45" ht="63" customHeight="1" s="21">
      <c r="A45" s="17" t="inlineStr">
        <is>
          <t>SPM-37-TC01</t>
        </is>
      </c>
      <c r="B45" s="17" t="inlineStr">
        <is>
          <t>SPM-37</t>
        </is>
      </c>
      <c r="C45" s="17" t="inlineStr">
        <is>
          <t>Kayalvizhi</t>
        </is>
      </c>
      <c r="D45" s="17" t="inlineStr">
        <is>
          <t>The assigned Coordinator cancels a Planning event with a reason, which releases its approved booking, withdraws its pending request at a second venue and releases its equipment</t>
        </is>
      </c>
      <c r="E45" s="17" t="inlineStr">
        <is>
          <t>Positive</t>
        </is>
      </c>
      <c r="F45" s="17" t="inlineStr">
        <is>
          <t>SPM-59</t>
        </is>
      </c>
      <c r="G45" s="17" t="inlineStr">
        <is>
          <t>Still says 'completed, cancelled or rejected'; the message now also names withdrawn.</t>
        </is>
      </c>
      <c r="H45" s="17" t="inlineStr">
        <is>
          <t>Found by searching the case text; recorded in DECOMMISSIONED.md, 2026-10-30</t>
        </is>
      </c>
      <c r="I45" s="17" t="inlineStr">
        <is>
          <t>Yes - on Jordan's sheet</t>
        </is>
      </c>
      <c r="J45" s="7" t="inlineStr">
        <is>
          <t>Updated</t>
        </is>
      </c>
    </row>
    <row r="46" ht="33" customHeight="1" s="21">
      <c r="A46" s="17" t="inlineStr">
        <is>
          <t>SPM-37-TC11</t>
        </is>
      </c>
      <c r="B46" s="17" t="inlineStr">
        <is>
          <t>SPM-37</t>
        </is>
      </c>
      <c r="C46" s="17" t="inlineStr">
        <is>
          <t>Kayalvizhi</t>
        </is>
      </c>
      <c r="D46" s="17" t="inlineStr">
        <is>
          <t>A cancelled event offers no action that would change its status or its arrangements</t>
        </is>
      </c>
      <c r="E46" s="17" t="inlineStr">
        <is>
          <t>Negative</t>
        </is>
      </c>
      <c r="F46" s="17" t="inlineStr">
        <is>
          <t>SPM-59</t>
        </is>
      </c>
      <c r="G46" s="17" t="inlineStr">
        <is>
          <t>Still says 'completed, cancelled or rejected'; the message now also names withdrawn.</t>
        </is>
      </c>
      <c r="H46" s="17" t="inlineStr">
        <is>
          <t>Found by searching the case text; recorded in DECOMMISSIONED.md, 2026-10-30</t>
        </is>
      </c>
      <c r="I46" s="17" t="inlineStr">
        <is>
          <t>No</t>
        </is>
      </c>
      <c r="J46" s="7" t="inlineStr">
        <is>
          <t>Updated</t>
        </is>
      </c>
    </row>
    <row r="47" ht="78" customHeight="1" s="21">
      <c r="A47" s="17" t="inlineStr">
        <is>
          <t>SPM-37-TC12</t>
        </is>
      </c>
      <c r="B47" s="17" t="inlineStr">
        <is>
          <t>SPM-37</t>
        </is>
      </c>
      <c r="C47" s="17" t="inlineStr">
        <is>
          <t>Kayalvizhi</t>
        </is>
      </c>
      <c r="D47" s="17" t="inlineStr">
        <is>
          <t>After an event is cancelled, its pending change request shows as closed on the change request screen and can no longer be approved or rejected</t>
        </is>
      </c>
      <c r="E47" s="17" t="inlineStr">
        <is>
          <t>Positive</t>
        </is>
      </c>
      <c r="F47" s="17" t="inlineStr">
        <is>
          <t>SPM-32</t>
        </is>
      </c>
      <c r="G47" s="17" t="inlineStr">
        <is>
          <t>Unblocked, as its pre-conditions said: step 5 named a change request screen that did not exist yet. It now uses SPM-32's real screens (the event's 'Change requests' card and the coordinator's Change Requests page, new step 6), and "no Approve or Reject button" reads "no Review link". The AC it checks still holds.</t>
        </is>
      </c>
      <c r="H47" s="17" t="inlineStr">
        <is>
          <t>Recorded in DECOMMISSIONED.md, 2026-10-28</t>
        </is>
      </c>
      <c r="I47" s="17" t="inlineStr">
        <is>
          <t>No</t>
        </is>
      </c>
      <c r="J47" s="7" t="inlineStr">
        <is>
          <t>Updated</t>
        </is>
      </c>
    </row>
    <row r="48" ht="63" customHeight="1" s="21">
      <c r="A48" s="17" t="inlineStr">
        <is>
          <t>SPM-39-TC05</t>
        </is>
      </c>
      <c r="B48" s="17" t="inlineStr">
        <is>
          <t>SPM-39</t>
        </is>
      </c>
      <c r="C48" s="17" t="inlineStr">
        <is>
          <t>Kayalvizhi</t>
        </is>
      </c>
      <c r="D48" s="17" t="inlineStr">
        <is>
          <t>Location, capacity, facilities and accessibility are all recorded and persist</t>
        </is>
      </c>
      <c r="E48" s="17" t="inlineStr">
        <is>
          <t>Positive</t>
        </is>
      </c>
      <c r="F48" s="17" t="inlineStr">
        <is>
          <t>SPM-80</t>
        </is>
      </c>
      <c r="G48" s="17" t="inlineStr">
        <is>
          <t>Wording only: the AC it checks still holds, but after a save that flags nothing the venue page now reads 'No bookings were affected, so nobody needed to be notified.' (was 'No approved bookings were affected, …'), because a setup or turnaround change also re-checks pending requests.</t>
        </is>
      </c>
      <c r="H48" s="17" t="inlineStr">
        <is>
          <t>Recorded in DECOMMISSIONED.md, 2026-10-20</t>
        </is>
      </c>
      <c r="I48" s="17" t="inlineStr">
        <is>
          <t>Yes - on Janelle's sheet</t>
        </is>
      </c>
      <c r="J48" s="7" t="inlineStr">
        <is>
          <t>Updated</t>
        </is>
      </c>
    </row>
    <row r="49" ht="63" customHeight="1" s="21">
      <c r="A49" s="17" t="inlineStr">
        <is>
          <t>SPM-39-TC13</t>
        </is>
      </c>
      <c r="B49" s="17" t="inlineStr">
        <is>
          <t>SPM-39</t>
        </is>
      </c>
      <c r="C49" s="17" t="inlineStr">
        <is>
          <t>Kayalvizhi</t>
        </is>
      </c>
      <c r="D49" s="17" t="inlineStr">
        <is>
          <t>Venue Staff can update an existing venue</t>
        </is>
      </c>
      <c r="E49" s="17" t="inlineStr">
        <is>
          <t>Positive</t>
        </is>
      </c>
      <c r="F49" s="17" t="inlineStr">
        <is>
          <t>SPM-80</t>
        </is>
      </c>
      <c r="G49" s="17" t="inlineStr">
        <is>
          <t>Wording only: the AC it checks still holds, but after a save that flags nothing the venue page now reads 'No bookings were affected, so nobody needed to be notified.' (was 'No approved bookings were affected, …'), because a setup or turnaround change also re-checks pending requests.</t>
        </is>
      </c>
      <c r="H49" s="17" t="inlineStr">
        <is>
          <t>Recorded in DECOMMISSIONED.md, 2026-10-20</t>
        </is>
      </c>
      <c r="I49" s="17" t="inlineStr">
        <is>
          <t>Yes - on Janelle's sheet</t>
        </is>
      </c>
      <c r="J49" s="7" t="inlineStr">
        <is>
          <t>Updated</t>
        </is>
      </c>
    </row>
    <row r="50" ht="63" customHeight="1" s="21">
      <c r="A50" s="17" t="inlineStr">
        <is>
          <t>SPM-39-TC18</t>
        </is>
      </c>
      <c r="B50" s="17" t="inlineStr">
        <is>
          <t>SPM-39</t>
        </is>
      </c>
      <c r="C50" s="17" t="inlineStr">
        <is>
          <t>Kayalvizhi</t>
        </is>
      </c>
      <c r="D50" s="17" t="inlineStr">
        <is>
          <t>A layout capacity exactly equal to the expected attendance does not flag</t>
        </is>
      </c>
      <c r="E50" s="17" t="inlineStr">
        <is>
          <t>Boundary</t>
        </is>
      </c>
      <c r="F50" s="17" t="inlineStr">
        <is>
          <t>SPM-80</t>
        </is>
      </c>
      <c r="G50" s="17" t="inlineStr">
        <is>
          <t>Wording only: the AC it checks still holds, but after a save that flags nothing the venue page now reads 'No bookings were affected, so nobody needed to be notified.' (was 'No approved bookings were affected, …'), because a setup or turnaround change also re-checks pending requests.</t>
        </is>
      </c>
      <c r="H50" s="17" t="inlineStr">
        <is>
          <t>Recorded in DECOMMISSIONED.md, 2026-10-20</t>
        </is>
      </c>
      <c r="I50" s="17" t="inlineStr">
        <is>
          <t>No</t>
        </is>
      </c>
      <c r="J50" s="7" t="inlineStr">
        <is>
          <t>Updated</t>
        </is>
      </c>
    </row>
    <row r="51" ht="63" customHeight="1" s="21">
      <c r="A51" s="17" t="inlineStr">
        <is>
          <t>SPM-39-TC22</t>
        </is>
      </c>
      <c r="B51" s="17" t="inlineStr">
        <is>
          <t>SPM-39</t>
        </is>
      </c>
      <c r="C51" s="17" t="inlineStr">
        <is>
          <t>Kayalvizhi</t>
        </is>
      </c>
      <c r="D51" s="17" t="inlineStr">
        <is>
          <t>Changing details that cannot affect suitability flags nothing</t>
        </is>
      </c>
      <c r="E51" s="17" t="inlineStr">
        <is>
          <t>Negative</t>
        </is>
      </c>
      <c r="F51" s="17" t="inlineStr">
        <is>
          <t>SPM-80</t>
        </is>
      </c>
      <c r="G51" s="17" t="inlineStr">
        <is>
          <t>Wording only: the AC it checks still holds, but after a save that flags nothing the venue page now reads 'No bookings were affected, so nobody needed to be notified.' (was 'No approved bookings were affected, …'), because a setup or turnaround change also re-checks pending requests.</t>
        </is>
      </c>
      <c r="H51" s="17" t="inlineStr">
        <is>
          <t>Recorded in DECOMMISSIONED.md, 2026-10-20</t>
        </is>
      </c>
      <c r="I51" s="17" t="inlineStr">
        <is>
          <t>No</t>
        </is>
      </c>
      <c r="J51" s="7" t="inlineStr">
        <is>
          <t>Updated</t>
        </is>
      </c>
    </row>
    <row r="52" ht="63" customHeight="1" s="21">
      <c r="A52" s="17" t="inlineStr">
        <is>
          <t>SPM-39-TC24</t>
        </is>
      </c>
      <c r="B52" s="17" t="inlineStr">
        <is>
          <t>SPM-39</t>
        </is>
      </c>
      <c r="C52" s="17" t="inlineStr">
        <is>
          <t>Kayalvizhi</t>
        </is>
      </c>
      <c r="D52" s="17" t="inlineStr">
        <is>
          <t>Removing a facility no event requires flags nothing</t>
        </is>
      </c>
      <c r="E52" s="17" t="inlineStr">
        <is>
          <t>Negative</t>
        </is>
      </c>
      <c r="F52" s="17" t="inlineStr">
        <is>
          <t>SPM-80</t>
        </is>
      </c>
      <c r="G52" s="17" t="inlineStr">
        <is>
          <t>Wording only: the AC it checks still holds, but after a save that flags nothing the venue page now reads 'No bookings were affected, so nobody needed to be notified.' (was 'No approved bookings were affected, …'), because a setup or turnaround change also re-checks pending requests.</t>
        </is>
      </c>
      <c r="H52" s="17" t="inlineStr">
        <is>
          <t>Recorded in DECOMMISSIONED.md, 2026-10-20</t>
        </is>
      </c>
      <c r="I52" s="17" t="inlineStr">
        <is>
          <t>No</t>
        </is>
      </c>
      <c r="J52" s="7" t="inlineStr">
        <is>
          <t>Updated</t>
        </is>
      </c>
    </row>
    <row r="53" ht="33" customHeight="1" s="21">
      <c r="A53" s="17" t="inlineStr">
        <is>
          <t>SPM-40-TC10</t>
        </is>
      </c>
      <c r="B53" s="17" t="inlineStr">
        <is>
          <t>SPM-40</t>
        </is>
      </c>
      <c r="C53" s="17" t="inlineStr">
        <is>
          <t>Kayalvizhi</t>
        </is>
      </c>
      <c r="D53" s="17" t="inlineStr">
        <is>
          <t>A venue whose setup slot is taken by the next morning's booking is hidden</t>
        </is>
      </c>
      <c r="E53" s="17" t="inlineStr">
        <is>
          <t>Boundary</t>
        </is>
      </c>
      <c r="F53" s="17" t="inlineStr">
        <is>
          <t>SPM-93</t>
        </is>
      </c>
      <c r="G53" s="17" t="inlineStr">
        <is>
          <t>Checks a rule of the fixed AM / PM / Night slots, which no longer exist (setup taking the previous day's Night slot).</t>
        </is>
      </c>
      <c r="H53" s="17" t="inlineStr">
        <is>
          <t>Recorded in DECOMMISSIONED.md, 2026-10-19</t>
        </is>
      </c>
      <c r="I53" s="17" t="inlineStr">
        <is>
          <t>No</t>
        </is>
      </c>
      <c r="J53" s="7" t="inlineStr">
        <is>
          <t>Retired</t>
        </is>
      </c>
    </row>
    <row r="54" ht="33" customHeight="1" s="21">
      <c r="A54" s="17" t="inlineStr">
        <is>
          <t>SPM-42-TC01</t>
        </is>
      </c>
      <c r="B54" s="17" t="inlineStr">
        <is>
          <t>SPM-42</t>
        </is>
      </c>
      <c r="C54" s="17" t="inlineStr">
        <is>
          <t>Sammi</t>
        </is>
      </c>
      <c r="D54" s="17" t="inlineStr">
        <is>
          <t>Coordinator requests a suitable venue, with venue requirements and layout</t>
        </is>
      </c>
      <c r="E54" s="17" t="inlineStr">
        <is>
          <t>Positive</t>
        </is>
      </c>
      <c r="F54" s="17" t="inlineStr">
        <is>
          <t>SPM-93</t>
        </is>
      </c>
      <c r="G54" s="17" t="inlineStr">
        <is>
          <t>Slot wording and values only: the AC it checks still holds with times on the 15-minute grid.</t>
        </is>
      </c>
      <c r="H54" s="17" t="inlineStr">
        <is>
          <t>Recorded in DECOMMISSIONED.md, 2026-10-19</t>
        </is>
      </c>
      <c r="I54" s="17" t="inlineStr">
        <is>
          <t>Yes - on Sammi's sheet</t>
        </is>
      </c>
      <c r="J54" s="7" t="inlineStr">
        <is>
          <t>Updated</t>
        </is>
      </c>
    </row>
    <row r="55" ht="33" customHeight="1" s="21">
      <c r="A55" s="17" t="inlineStr">
        <is>
          <t>SPM-42-TC03</t>
        </is>
      </c>
      <c r="B55" s="17" t="inlineStr">
        <is>
          <t>SPM-42</t>
        </is>
      </c>
      <c r="C55" s="17" t="inlineStr">
        <is>
          <t>Sammi</t>
        </is>
      </c>
      <c r="D55" s="17" t="inlineStr">
        <is>
          <t>A request for one slot books that whole slot; venue requirements may be left empty</t>
        </is>
      </c>
      <c r="E55" s="17" t="inlineStr">
        <is>
          <t>Positive</t>
        </is>
      </c>
      <c r="F55" s="17" t="inlineStr">
        <is>
          <t>SPM-93</t>
        </is>
      </c>
      <c r="G55" s="17" t="inlineStr">
        <is>
          <t>Checks a rule of the fixed AM / PM / Night slots, which no longer exist (a request books its whole slot).</t>
        </is>
      </c>
      <c r="H55" s="17" t="inlineStr">
        <is>
          <t>Recorded in DECOMMISSIONED.md, 2026-10-19</t>
        </is>
      </c>
      <c r="I55" s="17" t="inlineStr">
        <is>
          <t>No</t>
        </is>
      </c>
      <c r="J55" s="7" t="inlineStr">
        <is>
          <t>Retired</t>
        </is>
      </c>
    </row>
    <row r="56" ht="48" customHeight="1" s="21">
      <c r="A56" s="17" t="inlineStr">
        <is>
          <t>SPM-42-TC04</t>
        </is>
      </c>
      <c r="B56" s="17" t="inlineStr">
        <is>
          <t>SPM-42</t>
        </is>
      </c>
      <c r="C56" s="17" t="inlineStr">
        <is>
          <t>Sammi</t>
        </is>
      </c>
      <c r="D56" s="17" t="inlineStr">
        <is>
          <t>An event with no sessions spanning AM and PM is requested on its own date and consumes both slots in full</t>
        </is>
      </c>
      <c r="E56" s="17" t="inlineStr">
        <is>
          <t>Positive</t>
        </is>
      </c>
      <c r="F56" s="17" t="inlineStr">
        <is>
          <t>SPM-93</t>
        </is>
      </c>
      <c r="G56" s="17" t="inlineStr">
        <is>
          <t>Checks a rule of the fixed AM / PM / Night slots, which no longer exist (an AM + PM event consumes both slots).</t>
        </is>
      </c>
      <c r="H56" s="17" t="inlineStr">
        <is>
          <t>Recorded in DECOMMISSIONED.md, 2026-10-19</t>
        </is>
      </c>
      <c r="I56" s="17" t="inlineStr">
        <is>
          <t>No</t>
        </is>
      </c>
      <c r="J56" s="7" t="inlineStr">
        <is>
          <t>Retired</t>
        </is>
      </c>
    </row>
    <row r="57" ht="48" customHeight="1" s="21">
      <c r="A57" s="17" t="inlineStr">
        <is>
          <t>SPM-42-TC05</t>
        </is>
      </c>
      <c r="B57" s="17" t="inlineStr">
        <is>
          <t>SPM-42</t>
        </is>
      </c>
      <c r="C57" s="17" t="inlineStr">
        <is>
          <t>Sammi</t>
        </is>
      </c>
      <c r="D57" s="17" t="inlineStr">
        <is>
          <t>Slot choices that are empty, or not next to each other, are refused (team decision: contiguous slots)</t>
        </is>
      </c>
      <c r="E57" s="17" t="inlineStr">
        <is>
          <t>Negative</t>
        </is>
      </c>
      <c r="F57" s="17" t="inlineStr">
        <is>
          <t>SPM-93</t>
        </is>
      </c>
      <c r="G57" s="17" t="inlineStr">
        <is>
          <t>Checks a rule of the fixed AM / PM / Night slots, which no longer exist (empty or non-adjacent slot choices).</t>
        </is>
      </c>
      <c r="H57" s="17" t="inlineStr">
        <is>
          <t>Recorded in DECOMMISSIONED.md, 2026-10-19</t>
        </is>
      </c>
      <c r="I57" s="17" t="inlineStr">
        <is>
          <t>No</t>
        </is>
      </c>
      <c r="J57" s="7" t="inlineStr">
        <is>
          <t>Retired</t>
        </is>
      </c>
    </row>
    <row r="58" ht="48" customHeight="1" s="21">
      <c r="A58" s="17" t="inlineStr">
        <is>
          <t>SPM-42-TC06</t>
        </is>
      </c>
      <c r="B58" s="17" t="inlineStr">
        <is>
          <t>SPM-42</t>
        </is>
      </c>
      <c r="C58" s="17" t="inlineStr">
        <is>
          <t>Sammi</t>
        </is>
      </c>
      <c r="D58" s="17" t="inlineStr">
        <is>
          <t>Setup and turnaround each take exactly one adjacent slot, including the previous or following day</t>
        </is>
      </c>
      <c r="E58" s="17" t="inlineStr">
        <is>
          <t>Boundary</t>
        </is>
      </c>
      <c r="F58" s="17" t="inlineStr">
        <is>
          <t>SPM-93</t>
        </is>
      </c>
      <c r="G58" s="17" t="inlineStr">
        <is>
          <t>Checks a rule of the fixed AM / PM / Night slots, which no longer exist (setup and turnaround take one adjacent slot each).</t>
        </is>
      </c>
      <c r="H58" s="17" t="inlineStr">
        <is>
          <t>Recorded in DECOMMISSIONED.md, 2026-10-19</t>
        </is>
      </c>
      <c r="I58" s="17" t="inlineStr">
        <is>
          <t>No</t>
        </is>
      </c>
      <c r="J58" s="7" t="inlineStr">
        <is>
          <t>Retired</t>
        </is>
      </c>
    </row>
    <row r="59" ht="48" customHeight="1" s="21">
      <c r="A59" s="17" t="inlineStr">
        <is>
          <t>SPM-42-TC07</t>
        </is>
      </c>
      <c r="B59" s="17" t="inlineStr">
        <is>
          <t>SPM-42</t>
        </is>
      </c>
      <c r="C59" s="17" t="inlineStr">
        <is>
          <t>Sammi</t>
        </is>
      </c>
      <c r="D59" s="17" t="inlineStr">
        <is>
          <t>A venue with no setup or turnaround holds only the chosen slots, even one more than the event needs</t>
        </is>
      </c>
      <c r="E59" s="17" t="inlineStr">
        <is>
          <t>Boundary</t>
        </is>
      </c>
      <c r="F59" s="17" t="inlineStr">
        <is>
          <t>SPM-93</t>
        </is>
      </c>
      <c r="G59" s="17" t="inlineStr">
        <is>
          <t>Checks a rule of the fixed AM / PM / Night slots, which no longer exist (no setup holds only the chosen slots).</t>
        </is>
      </c>
      <c r="H59" s="17" t="inlineStr">
        <is>
          <t>Recorded in DECOMMISSIONED.md, 2026-10-19</t>
        </is>
      </c>
      <c r="I59" s="17" t="inlineStr">
        <is>
          <t>No</t>
        </is>
      </c>
      <c r="J59" s="7" t="inlineStr">
        <is>
          <t>Retired</t>
        </is>
      </c>
    </row>
    <row r="60" ht="33" customHeight="1" s="21">
      <c r="A60" s="17" t="inlineStr">
        <is>
          <t>SPM-42-TC08</t>
        </is>
      </c>
      <c r="B60" s="17" t="inlineStr">
        <is>
          <t>SPM-42</t>
        </is>
      </c>
      <c r="C60" s="17" t="inlineStr">
        <is>
          <t>Sammi</t>
        </is>
      </c>
      <c r="D60" s="17" t="inlineStr">
        <is>
          <t>Slots that do not cover the session's (or event's) own time are refused</t>
        </is>
      </c>
      <c r="E60" s="17" t="inlineStr">
        <is>
          <t>Negative</t>
        </is>
      </c>
      <c r="F60" s="17" t="inlineStr">
        <is>
          <t>SPM-93</t>
        </is>
      </c>
      <c r="G60" s="17" t="inlineStr">
        <is>
          <t>Checks a rule of the fixed AM / PM / Night slots, which no longer exist (chosen slots must cover the event's time).</t>
        </is>
      </c>
      <c r="H60" s="17" t="inlineStr">
        <is>
          <t>Recorded in DECOMMISSIONED.md, 2026-10-19</t>
        </is>
      </c>
      <c r="I60" s="17" t="inlineStr">
        <is>
          <t>No</t>
        </is>
      </c>
      <c r="J60" s="7" t="inlineStr">
        <is>
          <t>Retired</t>
        </is>
      </c>
    </row>
    <row r="61" ht="33" customHeight="1" s="21">
      <c r="A61" s="17" t="inlineStr">
        <is>
          <t>SPM-42-TC09</t>
        </is>
      </c>
      <c r="B61" s="17" t="inlineStr">
        <is>
          <t>SPM-42</t>
        </is>
      </c>
      <c r="C61" s="17" t="inlineStr">
        <is>
          <t>Sammi</t>
        </is>
      </c>
      <c r="D61" s="17" t="inlineStr">
        <is>
          <t>A 3-session event gets one request per session, each using its session's date, time and layout</t>
        </is>
      </c>
      <c r="E61" s="17" t="inlineStr">
        <is>
          <t>Positive</t>
        </is>
      </c>
      <c r="F61" s="17" t="inlineStr">
        <is>
          <t>SPM-93</t>
        </is>
      </c>
      <c r="G61" s="17" t="inlineStr">
        <is>
          <t>Slot wording and values only: the AC it checks still holds with times on the 15-minute grid.</t>
        </is>
      </c>
      <c r="H61" s="17" t="inlineStr">
        <is>
          <t>Recorded in DECOMMISSIONED.md, 2026-10-19</t>
        </is>
      </c>
      <c r="I61" s="17" t="inlineStr">
        <is>
          <t>Yes - on Sammi's sheet</t>
        </is>
      </c>
      <c r="J61" s="7" t="inlineStr">
        <is>
          <t>Updated</t>
        </is>
      </c>
    </row>
    <row r="62" ht="33" customHeight="1" s="21">
      <c r="A62" s="17" t="inlineStr">
        <is>
          <t>SPM-42-TC11</t>
        </is>
      </c>
      <c r="B62" s="17" t="inlineStr">
        <is>
          <t>SPM-42</t>
        </is>
      </c>
      <c r="C62" s="17" t="inlineStr">
        <is>
          <t>Sammi</t>
        </is>
      </c>
      <c r="D62" s="17" t="inlineStr">
        <is>
          <t>The request reaches Venue Staff and shows Pending</t>
        </is>
      </c>
      <c r="E62" s="17" t="inlineStr">
        <is>
          <t>Positive</t>
        </is>
      </c>
      <c r="F62" s="17" t="inlineStr">
        <is>
          <t>SPM-93</t>
        </is>
      </c>
      <c r="G62" s="17" t="inlineStr">
        <is>
          <t>Slot wording and values only: the AC it checks still holds with times on the 15-minute grid.</t>
        </is>
      </c>
      <c r="H62" s="17" t="inlineStr">
        <is>
          <t>Recorded in DECOMMISSIONED.md, 2026-10-19</t>
        </is>
      </c>
      <c r="I62" s="17" t="inlineStr">
        <is>
          <t>Yes - on Sammi's sheet</t>
        </is>
      </c>
      <c r="J62" s="7" t="inlineStr">
        <is>
          <t>Updated</t>
        </is>
      </c>
    </row>
    <row r="63" ht="33" customHeight="1" s="21">
      <c r="A63" s="17" t="inlineStr">
        <is>
          <t>SPM-42-TC12</t>
        </is>
      </c>
      <c r="B63" s="17" t="inlineStr">
        <is>
          <t>SPM-42</t>
        </is>
      </c>
      <c r="C63" s="17" t="inlineStr">
        <is>
          <t>Sammi</t>
        </is>
      </c>
      <c r="D63" s="17" t="inlineStr">
        <is>
          <t>Only the event's assigned Coordinator can request a booking (SPM-30 assignment rule)</t>
        </is>
      </c>
      <c r="E63" s="17" t="inlineStr">
        <is>
          <t>Negative</t>
        </is>
      </c>
      <c r="F63" s="17" t="inlineStr">
        <is>
          <t>SPM-84</t>
        </is>
      </c>
      <c r="G63" s="17" t="inlineStr">
        <is>
          <t>Wording only: the case names the role, which is now shown as the Event Coordinator Lead; the AC it checks still holds.</t>
        </is>
      </c>
      <c r="H63" s="17" t="inlineStr">
        <is>
          <t>Recorded in DECOMMISSIONED.md, 2026-10-20</t>
        </is>
      </c>
      <c r="I63" s="17" t="inlineStr">
        <is>
          <t>No</t>
        </is>
      </c>
      <c r="J63" s="7" t="inlineStr">
        <is>
          <t>Updated</t>
        </is>
      </c>
    </row>
    <row r="64" ht="63" customHeight="1" s="21">
      <c r="A64" s="17" t="inlineStr">
        <is>
          <t>SPM-42-TC13</t>
        </is>
      </c>
      <c r="B64" s="17" t="inlineStr">
        <is>
          <t>SPM-42</t>
        </is>
      </c>
      <c r="C64" s="17" t="inlineStr">
        <is>
          <t>Sammi</t>
        </is>
      </c>
      <c r="D64" s="17" t="inlineStr">
        <is>
          <t>A venue cannot be requested for a completed, cancelled or rejected event (existing SPM-47 rule)</t>
        </is>
      </c>
      <c r="E64" s="17" t="inlineStr">
        <is>
          <t>Negative</t>
        </is>
      </c>
      <c r="F64" s="17" t="inlineStr">
        <is>
          <t>SPM-59</t>
        </is>
      </c>
      <c r="G64" s="17" t="inlineStr">
        <is>
          <t>Wording only: the closed-event message now names withdrawn events; the AC it checks still holds. Its expected result now reads 'A venue cannot be requested for a completed, cancelled, rejected or withdrawn event.' (was '... completed, cancelled or rejected event.').</t>
        </is>
      </c>
      <c r="H64" s="17" t="inlineStr">
        <is>
          <t>Recorded in DECOMMISSIONED.md, 2026-10-23</t>
        </is>
      </c>
      <c r="I64" s="17" t="inlineStr">
        <is>
          <t>No</t>
        </is>
      </c>
      <c r="J64" s="7" t="inlineStr">
        <is>
          <t>Updated</t>
        </is>
      </c>
    </row>
    <row r="65" ht="33" customHeight="1" s="21">
      <c r="A65" s="17" t="inlineStr">
        <is>
          <t>SPM-42-TC14</t>
        </is>
      </c>
      <c r="B65" s="17" t="inlineStr">
        <is>
          <t>SPM-42</t>
        </is>
      </c>
      <c r="C65" s="17" t="inlineStr">
        <is>
          <t>Sammi</t>
        </is>
      </c>
      <c r="D65" s="17" t="inlineStr">
        <is>
          <t>A slot that is booked, on hold, or unavailable is refused (#35, #41)</t>
        </is>
      </c>
      <c r="E65" s="17" t="inlineStr">
        <is>
          <t>Negative</t>
        </is>
      </c>
      <c r="F65" s="17" t="inlineStr">
        <is>
          <t>SPM-93</t>
        </is>
      </c>
      <c r="G65" s="17" t="inlineStr">
        <is>
          <t>Slot wording and values only: the AC it checks still holds with times on the 15-minute grid.</t>
        </is>
      </c>
      <c r="H65" s="17" t="inlineStr">
        <is>
          <t>Recorded in DECOMMISSIONED.md, 2026-10-19</t>
        </is>
      </c>
      <c r="I65" s="17" t="inlineStr">
        <is>
          <t>No</t>
        </is>
      </c>
      <c r="J65" s="7" t="inlineStr">
        <is>
          <t>Updated</t>
        </is>
      </c>
    </row>
    <row r="66" ht="33" customHeight="1" s="21">
      <c r="A66" s="17" t="inlineStr">
        <is>
          <t>SPM-42-TC15</t>
        </is>
      </c>
      <c r="B66" s="17" t="inlineStr">
        <is>
          <t>SPM-42</t>
        </is>
      </c>
      <c r="C66" s="17" t="inlineStr">
        <is>
          <t>Sammi</t>
        </is>
      </c>
      <c r="D66" s="17" t="inlineStr">
        <is>
          <t>A clash only through setup or turnaround slots is refused (#123, #35)</t>
        </is>
      </c>
      <c r="E66" s="17" t="inlineStr">
        <is>
          <t>Boundary</t>
        </is>
      </c>
      <c r="F66" s="17" t="inlineStr">
        <is>
          <t>SPM-93</t>
        </is>
      </c>
      <c r="G66" s="17" t="inlineStr">
        <is>
          <t>Checks a rule of the fixed AM / PM / Night slots, which no longer exist (a clash only through setup or turnaround slots).</t>
        </is>
      </c>
      <c r="H66" s="17" t="inlineStr">
        <is>
          <t>Recorded in DECOMMISSIONED.md, 2026-10-19</t>
        </is>
      </c>
      <c r="I66" s="17" t="inlineStr">
        <is>
          <t>No</t>
        </is>
      </c>
      <c r="J66" s="7" t="inlineStr">
        <is>
          <t>Retired</t>
        </is>
      </c>
    </row>
    <row r="67" ht="33" customHeight="1" s="21">
      <c r="A67" s="17" t="inlineStr">
        <is>
          <t>SPM-42-TC16</t>
        </is>
      </c>
      <c r="B67" s="17" t="inlineStr">
        <is>
          <t>SPM-42</t>
        </is>
      </c>
      <c r="C67" s="17" t="inlineStr">
        <is>
          <t>Sammi</t>
        </is>
      </c>
      <c r="D67" s="17" t="inlineStr">
        <is>
          <t>Cancelled and rejected bookings do not block a request (#41)</t>
        </is>
      </c>
      <c r="E67" s="17" t="inlineStr">
        <is>
          <t>Boundary</t>
        </is>
      </c>
      <c r="F67" s="17" t="inlineStr">
        <is>
          <t>SPM-93</t>
        </is>
      </c>
      <c r="G67" s="17" t="inlineStr">
        <is>
          <t>Slot wording and values only: the AC it checks still holds with times on the 15-minute grid.</t>
        </is>
      </c>
      <c r="H67" s="17" t="inlineStr">
        <is>
          <t>Recorded in DECOMMISSIONED.md, 2026-10-19</t>
        </is>
      </c>
      <c r="I67" s="17" t="inlineStr">
        <is>
          <t>No</t>
        </is>
      </c>
      <c r="J67" s="7" t="inlineStr">
        <is>
          <t>Updated</t>
        </is>
      </c>
    </row>
    <row r="68" ht="33" customHeight="1" s="21">
      <c r="A68" s="17" t="inlineStr">
        <is>
          <t>SPM-43-TC01</t>
        </is>
      </c>
      <c r="B68" s="17" t="inlineStr">
        <is>
          <t>SPM-43</t>
        </is>
      </c>
      <c r="C68" s="17" t="inlineStr">
        <is>
          <t>Kayalvizhi</t>
        </is>
      </c>
      <c r="D68" s="17" t="inlineStr">
        <is>
          <t>Venue Staff see the pending requests, each with its venue, date, slots and event details</t>
        </is>
      </c>
      <c r="E68" s="17" t="inlineStr">
        <is>
          <t>Positive</t>
        </is>
      </c>
      <c r="F68" s="17" t="inlineStr">
        <is>
          <t>SPM-93</t>
        </is>
      </c>
      <c r="G68" s="17" t="inlineStr">
        <is>
          <t>Slot wording and values only: the AC it checks still holds with times on the 15-minute grid.</t>
        </is>
      </c>
      <c r="H68" s="17" t="inlineStr">
        <is>
          <t>Recorded in DECOMMISSIONED.md, 2026-10-19</t>
        </is>
      </c>
      <c r="I68" s="17" t="inlineStr">
        <is>
          <t>Yes - on Sammi's sheet</t>
        </is>
      </c>
      <c r="J68" s="7" t="inlineStr">
        <is>
          <t>Updated</t>
        </is>
      </c>
    </row>
    <row r="69" ht="33" customHeight="1" s="21">
      <c r="A69" s="17" t="inlineStr">
        <is>
          <t>SPM-43-TC02</t>
        </is>
      </c>
      <c r="B69" s="17" t="inlineStr">
        <is>
          <t>SPM-43</t>
        </is>
      </c>
      <c r="C69" s="17" t="inlineStr">
        <is>
          <t>Kayalvizhi</t>
        </is>
      </c>
      <c r="D69" s="17" t="inlineStr">
        <is>
          <t>A request for one session shows that session's own time, attendance and layout, not the event's</t>
        </is>
      </c>
      <c r="E69" s="17" t="inlineStr">
        <is>
          <t>Positive</t>
        </is>
      </c>
      <c r="F69" s="17" t="inlineStr">
        <is>
          <t>SPM-93</t>
        </is>
      </c>
      <c r="G69" s="17" t="inlineStr">
        <is>
          <t>Slot wording and values only: the AC it checks still holds with times on the 15-minute grid.</t>
        </is>
      </c>
      <c r="H69" s="17" t="inlineStr">
        <is>
          <t>Recorded in DECOMMISSIONED.md, 2026-10-19</t>
        </is>
      </c>
      <c r="I69" s="17" t="inlineStr">
        <is>
          <t>No</t>
        </is>
      </c>
      <c r="J69" s="7" t="inlineStr">
        <is>
          <t>Updated</t>
        </is>
      </c>
    </row>
    <row r="70" ht="48" customHeight="1" s="21">
      <c r="A70" s="17" t="inlineStr">
        <is>
          <t>SPM-43-TC03</t>
        </is>
      </c>
      <c r="B70" s="17" t="inlineStr">
        <is>
          <t>SPM-43</t>
        </is>
      </c>
      <c r="C70" s="17" t="inlineStr">
        <is>
          <t>Kayalvizhi</t>
        </is>
      </c>
      <c r="D70" s="17" t="inlineStr">
        <is>
          <t>Approving a request books the room: it leaves the list, the calendar shows it Booked, and the Coordinator sees it Approved</t>
        </is>
      </c>
      <c r="E70" s="17" t="inlineStr">
        <is>
          <t>Positive</t>
        </is>
      </c>
      <c r="F70" s="17" t="inlineStr">
        <is>
          <t>SPM-93</t>
        </is>
      </c>
      <c r="G70" s="17" t="inlineStr">
        <is>
          <t>Slot wording and values only: the AC it checks still holds with times on the 15-minute grid.</t>
        </is>
      </c>
      <c r="H70" s="17" t="inlineStr">
        <is>
          <t>Recorded in DECOMMISSIONED.md, 2026-10-19</t>
        </is>
      </c>
      <c r="I70" s="17" t="inlineStr">
        <is>
          <t>Yes - on Sammi's sheet</t>
        </is>
      </c>
      <c r="J70" s="7" t="inlineStr">
        <is>
          <t>Updated</t>
        </is>
      </c>
    </row>
    <row r="71" ht="48" customHeight="1" s="21">
      <c r="A71" s="17" t="inlineStr">
        <is>
          <t>SPM-43-TC04</t>
        </is>
      </c>
      <c r="B71" s="17" t="inlineStr">
        <is>
          <t>SPM-43</t>
        </is>
      </c>
      <c r="C71" s="17" t="inlineStr">
        <is>
          <t>Kayalvizhi</t>
        </is>
      </c>
      <c r="D71" s="17" t="inlineStr">
        <is>
          <t>Once one of two requests for the same room and slot is approved, the other is in conflict and cannot be approved</t>
        </is>
      </c>
      <c r="E71" s="17" t="inlineStr">
        <is>
          <t>Negative</t>
        </is>
      </c>
      <c r="F71" s="17" t="inlineStr">
        <is>
          <t>SPM-93</t>
        </is>
      </c>
      <c r="G71" s="17" t="inlineStr">
        <is>
          <t>Slot wording and values only: the AC it checks still holds with times on the 15-minute grid.</t>
        </is>
      </c>
      <c r="H71" s="17" t="inlineStr">
        <is>
          <t>Recorded in DECOMMISSIONED.md, 2026-10-19</t>
        </is>
      </c>
      <c r="I71" s="17" t="inlineStr">
        <is>
          <t>No</t>
        </is>
      </c>
      <c r="J71" s="7" t="inlineStr">
        <is>
          <t>Updated</t>
        </is>
      </c>
    </row>
    <row r="72" ht="33" customHeight="1" s="21">
      <c r="A72" s="17" t="inlineStr">
        <is>
          <t>SPM-43-TC05</t>
        </is>
      </c>
      <c r="B72" s="17" t="inlineStr">
        <is>
          <t>SPM-43</t>
        </is>
      </c>
      <c r="C72" s="17" t="inlineStr">
        <is>
          <t>Kayalvizhi</t>
        </is>
      </c>
      <c r="D72" s="17" t="inlineStr">
        <is>
          <t>A request that clashes only through an approved booking's turnaround slot cannot be approved</t>
        </is>
      </c>
      <c r="E72" s="17" t="inlineStr">
        <is>
          <t>Boundary</t>
        </is>
      </c>
      <c r="F72" s="17" t="inlineStr">
        <is>
          <t>SPM-93</t>
        </is>
      </c>
      <c r="G72" s="17" t="inlineStr">
        <is>
          <t>Checks a rule of the fixed AM / PM / Night slots, which no longer exist (a clash through an approved booking's turnaround slot).</t>
        </is>
      </c>
      <c r="H72" s="17" t="inlineStr">
        <is>
          <t>Recorded in DECOMMISSIONED.md, 2026-10-19</t>
        </is>
      </c>
      <c r="I72" s="17" t="inlineStr">
        <is>
          <t>No</t>
        </is>
      </c>
      <c r="J72" s="7" t="inlineStr">
        <is>
          <t>Retired</t>
        </is>
      </c>
    </row>
    <row r="73" ht="33" customHeight="1" s="21">
      <c r="A73" s="17" t="inlineStr">
        <is>
          <t>SPM-43-TC06</t>
        </is>
      </c>
      <c r="B73" s="17" t="inlineStr">
        <is>
          <t>SPM-43</t>
        </is>
      </c>
      <c r="C73" s="17" t="inlineStr">
        <is>
          <t>Kayalvizhi</t>
        </is>
      </c>
      <c r="D73" s="17" t="inlineStr">
        <is>
          <t>A request for an event that has since been cancelled cannot be approved</t>
        </is>
      </c>
      <c r="E73" s="17" t="inlineStr">
        <is>
          <t>Negative</t>
        </is>
      </c>
      <c r="F73" s="17" t="inlineStr">
        <is>
          <t>SPM-93</t>
        </is>
      </c>
      <c r="G73" s="17" t="inlineStr">
        <is>
          <t>Slot wording and values only: the AC it checks still holds with times on the 15-minute grid.</t>
        </is>
      </c>
      <c r="H73" s="17" t="inlineStr">
        <is>
          <t>Recorded in DECOMMISSIONED.md, 2026-10-19</t>
        </is>
      </c>
      <c r="I73" s="17" t="inlineStr">
        <is>
          <t>No</t>
        </is>
      </c>
      <c r="J73" s="7" t="inlineStr">
        <is>
          <t>Updated</t>
        </is>
      </c>
    </row>
    <row r="74" ht="33" customHeight="1" s="21">
      <c r="A74" s="17" t="inlineStr">
        <is>
          <t>SPM-43-TC07</t>
        </is>
      </c>
      <c r="B74" s="17" t="inlineStr">
        <is>
          <t>SPM-43</t>
        </is>
      </c>
      <c r="C74" s="17" t="inlineStr">
        <is>
          <t>Kayalvizhi</t>
        </is>
      </c>
      <c r="D74" s="17" t="inlineStr">
        <is>
          <t>Rejecting without a reason, or with only spaces, is refused</t>
        </is>
      </c>
      <c r="E74" s="17" t="inlineStr">
        <is>
          <t>Boundary</t>
        </is>
      </c>
      <c r="F74" s="17" t="inlineStr">
        <is>
          <t>SPM-93</t>
        </is>
      </c>
      <c r="G74" s="17" t="inlineStr">
        <is>
          <t>Slot wording and values only: the AC it checks still holds with times on the 15-minute grid.</t>
        </is>
      </c>
      <c r="H74" s="17" t="inlineStr">
        <is>
          <t>Recorded in DECOMMISSIONED.md, 2026-10-19</t>
        </is>
      </c>
      <c r="I74" s="17" t="inlineStr">
        <is>
          <t>No</t>
        </is>
      </c>
      <c r="J74" s="7" t="inlineStr">
        <is>
          <t>Updated</t>
        </is>
      </c>
    </row>
    <row r="75" ht="33" customHeight="1" s="21">
      <c r="A75" s="17" t="inlineStr">
        <is>
          <t>SPM-43-TC08</t>
        </is>
      </c>
      <c r="B75" s="17" t="inlineStr">
        <is>
          <t>SPM-43</t>
        </is>
      </c>
      <c r="C75" s="17" t="inlineStr">
        <is>
          <t>Kayalvizhi</t>
        </is>
      </c>
      <c r="D75" s="17" t="inlineStr">
        <is>
          <t>Rejecting with a reason takes the request off the list and shows the Coordinator the reason</t>
        </is>
      </c>
      <c r="E75" s="17" t="inlineStr">
        <is>
          <t>Positive</t>
        </is>
      </c>
      <c r="F75" s="17" t="inlineStr">
        <is>
          <t>SPM-93</t>
        </is>
      </c>
      <c r="G75" s="17" t="inlineStr">
        <is>
          <t>Slot wording and values only: the AC it checks still holds with times on the 15-minute grid.</t>
        </is>
      </c>
      <c r="H75" s="17" t="inlineStr">
        <is>
          <t>Recorded in DECOMMISSIONED.md, 2026-10-19</t>
        </is>
      </c>
      <c r="I75" s="17" t="inlineStr">
        <is>
          <t>Yes - on Sammi's sheet</t>
        </is>
      </c>
      <c r="J75" s="7" t="inlineStr">
        <is>
          <t>Updated</t>
        </is>
      </c>
    </row>
    <row r="76" ht="48" customHeight="1" s="21">
      <c r="A76" s="17" t="inlineStr">
        <is>
          <t>SPM-43-TC09</t>
        </is>
      </c>
      <c r="B76" s="17" t="inlineStr">
        <is>
          <t>SPM-43</t>
        </is>
      </c>
      <c r="C76" s="17" t="inlineStr">
        <is>
          <t>Kayalvizhi</t>
        </is>
      </c>
      <c r="D76" s="17" t="inlineStr">
        <is>
          <t>Venue Staff suggest another venue when rejecting; the Coordinator sees it and can start a new request for that venue</t>
        </is>
      </c>
      <c r="E76" s="17" t="inlineStr">
        <is>
          <t>Positive</t>
        </is>
      </c>
      <c r="F76" s="17" t="inlineStr">
        <is>
          <t>SPM-93</t>
        </is>
      </c>
      <c r="G76" s="17" t="inlineStr">
        <is>
          <t>Slot wording and values only: the AC it checks still holds with times on the 15-minute grid.</t>
        </is>
      </c>
      <c r="H76" s="17" t="inlineStr">
        <is>
          <t>Recorded in DECOMMISSIONED.md, 2026-10-19</t>
        </is>
      </c>
      <c r="I76" s="17" t="inlineStr">
        <is>
          <t>Yes - on Sammi's sheet</t>
        </is>
      </c>
      <c r="J76" s="7" t="inlineStr">
        <is>
          <t>Updated</t>
        </is>
      </c>
    </row>
    <row r="77" ht="33" customHeight="1" s="21">
      <c r="A77" s="17" t="inlineStr">
        <is>
          <t>SPM-43-TC10</t>
        </is>
      </c>
      <c r="B77" s="17" t="inlineStr">
        <is>
          <t>SPM-43</t>
        </is>
      </c>
      <c r="C77" s="17" t="inlineStr">
        <is>
          <t>Kayalvizhi</t>
        </is>
      </c>
      <c r="D77" s="17" t="inlineStr">
        <is>
          <t>Venue Staff suggest an alternative arrangement in words, without naming a venue</t>
        </is>
      </c>
      <c r="E77" s="17" t="inlineStr">
        <is>
          <t>Positive</t>
        </is>
      </c>
      <c r="F77" s="17" t="inlineStr">
        <is>
          <t>SPM-93</t>
        </is>
      </c>
      <c r="G77" s="17" t="inlineStr">
        <is>
          <t>Slot wording and values only: the AC it checks still holds with times on the 15-minute grid.</t>
        </is>
      </c>
      <c r="H77" s="17" t="inlineStr">
        <is>
          <t>Recorded in DECOMMISSIONED.md, 2026-10-19</t>
        </is>
      </c>
      <c r="I77" s="17" t="inlineStr">
        <is>
          <t>No</t>
        </is>
      </c>
      <c r="J77" s="7" t="inlineStr">
        <is>
          <t>Updated</t>
        </is>
      </c>
    </row>
    <row r="78" ht="33" customHeight="1" s="21">
      <c r="A78" s="17" t="inlineStr">
        <is>
          <t>SPM-43-TC12</t>
        </is>
      </c>
      <c r="B78" s="17" t="inlineStr">
        <is>
          <t>SPM-43</t>
        </is>
      </c>
      <c r="C78" s="17" t="inlineStr">
        <is>
          <t>Kayalvizhi</t>
        </is>
      </c>
      <c r="D78" s="17" t="inlineStr">
        <is>
          <t>A request is decided once: approving one that was already rejected from another tab is refused</t>
        </is>
      </c>
      <c r="E78" s="17" t="inlineStr">
        <is>
          <t>Negative</t>
        </is>
      </c>
      <c r="F78" s="17" t="inlineStr">
        <is>
          <t>SPM-93</t>
        </is>
      </c>
      <c r="G78" s="17" t="inlineStr">
        <is>
          <t>Slot wording and values only: the AC it checks still holds with times on the 15-minute grid.</t>
        </is>
      </c>
      <c r="H78" s="17" t="inlineStr">
        <is>
          <t>Recorded in DECOMMISSIONED.md, 2026-10-19</t>
        </is>
      </c>
      <c r="I78" s="17" t="inlineStr">
        <is>
          <t>No</t>
        </is>
      </c>
      <c r="J78" s="7" t="inlineStr">
        <is>
          <t>Updated</t>
        </is>
      </c>
    </row>
    <row r="79" ht="33" customHeight="1" s="21">
      <c r="A79" s="17" t="inlineStr">
        <is>
          <t>SPM-43-TC13</t>
        </is>
      </c>
      <c r="B79" s="17" t="inlineStr">
        <is>
          <t>SPM-43</t>
        </is>
      </c>
      <c r="C79" s="17" t="inlineStr">
        <is>
          <t>Kayalvizhi</t>
        </is>
      </c>
      <c r="D79" s="17" t="inlineStr">
        <is>
          <t>A request for a time when the venue is unavailable (maintenance) cannot be approved</t>
        </is>
      </c>
      <c r="E79" s="17" t="inlineStr">
        <is>
          <t>Negative</t>
        </is>
      </c>
      <c r="F79" s="17" t="inlineStr">
        <is>
          <t>SPM-93</t>
        </is>
      </c>
      <c r="G79" s="17" t="inlineStr">
        <is>
          <t>Slot wording and values only: the AC it checks still holds with times on the 15-minute grid.</t>
        </is>
      </c>
      <c r="H79" s="17" t="inlineStr">
        <is>
          <t>Recorded in DECOMMISSIONED.md, 2026-10-19</t>
        </is>
      </c>
      <c r="I79" s="17" t="inlineStr">
        <is>
          <t>No</t>
        </is>
      </c>
      <c r="J79" s="7" t="inlineStr">
        <is>
          <t>Updated</t>
        </is>
      </c>
    </row>
    <row r="80" ht="33" customHeight="1" s="21">
      <c r="A80" s="17" t="inlineStr">
        <is>
          <t>SPM-43-TC14</t>
        </is>
      </c>
      <c r="B80" s="17" t="inlineStr">
        <is>
          <t>SPM-43</t>
        </is>
      </c>
      <c r="C80" s="17" t="inlineStr">
        <is>
          <t>Kayalvizhi</t>
        </is>
      </c>
      <c r="D80" s="17" t="inlineStr">
        <is>
          <t>A request for a venue that has been retired cannot be approved</t>
        </is>
      </c>
      <c r="E80" s="17" t="inlineStr">
        <is>
          <t>Negative</t>
        </is>
      </c>
      <c r="F80" s="17" t="inlineStr">
        <is>
          <t>SPM-93</t>
        </is>
      </c>
      <c r="G80" s="17" t="inlineStr">
        <is>
          <t>Slot wording and values only: the AC it checks still holds with times on the 15-minute grid.</t>
        </is>
      </c>
      <c r="H80" s="17" t="inlineStr">
        <is>
          <t>Recorded in DECOMMISSIONED.md, 2026-10-19</t>
        </is>
      </c>
      <c r="I80" s="17" t="inlineStr">
        <is>
          <t>No</t>
        </is>
      </c>
      <c r="J80" s="7" t="inlineStr">
        <is>
          <t>Updated</t>
        </is>
      </c>
    </row>
    <row r="81" ht="33" customHeight="1" s="21">
      <c r="A81" s="17" t="inlineStr">
        <is>
          <t>SPM-43-TC15</t>
        </is>
      </c>
      <c r="B81" s="17" t="inlineStr">
        <is>
          <t>SPM-43</t>
        </is>
      </c>
      <c r="C81" s="17" t="inlineStr">
        <is>
          <t>Kayalvizhi</t>
        </is>
      </c>
      <c r="D81" s="17" t="inlineStr">
        <is>
          <t>A request for an event that has not been approved yet is not shown to Venue Staff</t>
        </is>
      </c>
      <c r="E81" s="17" t="inlineStr">
        <is>
          <t>Negative</t>
        </is>
      </c>
      <c r="F81" s="17" t="inlineStr">
        <is>
          <t>SPM-93</t>
        </is>
      </c>
      <c r="G81" s="17" t="inlineStr">
        <is>
          <t>Slot wording and values only: the AC it checks still holds with times on the 15-minute grid.</t>
        </is>
      </c>
      <c r="H81" s="17" t="inlineStr">
        <is>
          <t>Recorded in DECOMMISSIONED.md, 2026-10-19</t>
        </is>
      </c>
      <c r="I81" s="17" t="inlineStr">
        <is>
          <t>No</t>
        </is>
      </c>
      <c r="J81" s="7" t="inlineStr">
        <is>
          <t>Updated</t>
        </is>
      </c>
    </row>
    <row r="82" ht="48" customHeight="1" s="21">
      <c r="A82" s="17" t="inlineStr">
        <is>
          <t>SPM-43-TC16</t>
        </is>
      </c>
      <c r="B82" s="17" t="inlineStr">
        <is>
          <t>SPM-43</t>
        </is>
      </c>
      <c r="C82" s="17" t="inlineStr">
        <is>
          <t>Kayalvizhi</t>
        </is>
      </c>
      <c r="D82" s="17" t="inlineStr">
        <is>
          <t>A request in the first slot clear of an approved booking's turnaround is not in conflict and can be approved</t>
        </is>
      </c>
      <c r="E82" s="17" t="inlineStr">
        <is>
          <t>Boundary</t>
        </is>
      </c>
      <c r="F82" s="17" t="inlineStr">
        <is>
          <t>SPM-93</t>
        </is>
      </c>
      <c r="G82" s="17" t="inlineStr">
        <is>
          <t>Checks a rule of the fixed AM / PM / Night slots, which no longer exist (the first slot clear of a turnaround).</t>
        </is>
      </c>
      <c r="H82" s="17" t="inlineStr">
        <is>
          <t>Recorded in DECOMMISSIONED.md, 2026-10-19</t>
        </is>
      </c>
      <c r="I82" s="17" t="inlineStr">
        <is>
          <t>No</t>
        </is>
      </c>
      <c r="J82" s="7" t="inlineStr">
        <is>
          <t>Retired</t>
        </is>
      </c>
    </row>
    <row r="83" ht="33" customHeight="1" s="21">
      <c r="A83" s="17" t="inlineStr">
        <is>
          <t>SPM-44-TC01</t>
        </is>
      </c>
      <c r="B83" s="17" t="inlineStr">
        <is>
          <t>SPM-44</t>
        </is>
      </c>
      <c r="C83" s="17" t="inlineStr">
        <is>
          <t>Jordan</t>
        </is>
      </c>
      <c r="D83" s="17" t="inlineStr">
        <is>
          <t>A slot already held by an approved booking is refused, and the booking is named</t>
        </is>
      </c>
      <c r="E83" s="17" t="inlineStr">
        <is>
          <t>Negative</t>
        </is>
      </c>
      <c r="F83" s="17" t="inlineStr">
        <is>
          <t>SPM-93</t>
        </is>
      </c>
      <c r="G83" s="17" t="inlineStr">
        <is>
          <t>Slot wording and values only: the AC it checks still holds with times on the 15-minute grid.</t>
        </is>
      </c>
      <c r="H83" s="17" t="inlineStr">
        <is>
          <t>Recorded in DECOMMISSIONED.md, 2026-10-19</t>
        </is>
      </c>
      <c r="I83" s="17" t="inlineStr">
        <is>
          <t>No</t>
        </is>
      </c>
      <c r="J83" s="7" t="inlineStr">
        <is>
          <t>Updated</t>
        </is>
      </c>
    </row>
    <row r="84" ht="33" customHeight="1" s="21">
      <c r="A84" s="17" t="inlineStr">
        <is>
          <t>SPM-44-TC02</t>
        </is>
      </c>
      <c r="B84" s="17" t="inlineStr">
        <is>
          <t>SPM-44</t>
        </is>
      </c>
      <c r="C84" s="17" t="inlineStr">
        <is>
          <t>Jordan</t>
        </is>
      </c>
      <c r="D84" s="17" t="inlineStr">
        <is>
          <t>A different slot on the same day at the same venue is allowed</t>
        </is>
      </c>
      <c r="E84" s="17" t="inlineStr">
        <is>
          <t>Positive</t>
        </is>
      </c>
      <c r="F84" s="17" t="inlineStr">
        <is>
          <t>SPM-93</t>
        </is>
      </c>
      <c r="G84" s="17" t="inlineStr">
        <is>
          <t>Checks a rule of the fixed AM / PM / Night slots, which no longer exist (a different slot on the same day is allowed).</t>
        </is>
      </c>
      <c r="H84" s="17" t="inlineStr">
        <is>
          <t>Recorded in DECOMMISSIONED.md, 2026-10-19</t>
        </is>
      </c>
      <c r="I84" s="17" t="inlineStr">
        <is>
          <t>No</t>
        </is>
      </c>
      <c r="J84" s="7" t="inlineStr">
        <is>
          <t>Retired</t>
        </is>
      </c>
    </row>
    <row r="85" ht="33" customHeight="1" s="21">
      <c r="A85" s="17" t="inlineStr">
        <is>
          <t>SPM-44-TC03</t>
        </is>
      </c>
      <c r="B85" s="17" t="inlineStr">
        <is>
          <t>SPM-44</t>
        </is>
      </c>
      <c r="C85" s="17" t="inlineStr">
        <is>
          <t>Jordan</t>
        </is>
      </c>
      <c r="D85" s="17" t="inlineStr">
        <is>
          <t>An event's own booking does not conflict with itself</t>
        </is>
      </c>
      <c r="E85" s="17" t="inlineStr">
        <is>
          <t>Boundary</t>
        </is>
      </c>
      <c r="F85" s="17" t="inlineStr">
        <is>
          <t>SPM-93</t>
        </is>
      </c>
      <c r="G85" s="17" t="inlineStr">
        <is>
          <t>Slot wording and values only: the AC it checks still holds with times on the 15-minute grid.</t>
        </is>
      </c>
      <c r="H85" s="17" t="inlineStr">
        <is>
          <t>Recorded in DECOMMISSIONED.md, 2026-10-19</t>
        </is>
      </c>
      <c r="I85" s="17" t="inlineStr">
        <is>
          <t>No</t>
        </is>
      </c>
      <c r="J85" s="7" t="inlineStr">
        <is>
          <t>Updated</t>
        </is>
      </c>
    </row>
    <row r="86" ht="33" customHeight="1" s="21">
      <c r="A86" s="17" t="inlineStr">
        <is>
          <t>SPM-44-TC04</t>
        </is>
      </c>
      <c r="B86" s="17" t="inlineStr">
        <is>
          <t>SPM-44</t>
        </is>
      </c>
      <c r="C86" s="17" t="inlineStr">
        <is>
          <t>Jordan</t>
        </is>
      </c>
      <c r="D86" s="17" t="inlineStr">
        <is>
          <t>A slot already held by another event's pending request is refused</t>
        </is>
      </c>
      <c r="E86" s="17" t="inlineStr">
        <is>
          <t>Negative</t>
        </is>
      </c>
      <c r="F86" s="17" t="inlineStr">
        <is>
          <t>SPM-93</t>
        </is>
      </c>
      <c r="G86" s="17" t="inlineStr">
        <is>
          <t>Slot wording and values only: the AC it checks still holds with times on the 15-minute grid.</t>
        </is>
      </c>
      <c r="H86" s="17" t="inlineStr">
        <is>
          <t>Recorded in DECOMMISSIONED.md, 2026-10-19</t>
        </is>
      </c>
      <c r="I86" s="17" t="inlineStr">
        <is>
          <t>No</t>
        </is>
      </c>
      <c r="J86" s="7" t="inlineStr">
        <is>
          <t>Updated</t>
        </is>
      </c>
    </row>
    <row r="87" ht="33" customHeight="1" s="21">
      <c r="A87" s="17" t="inlineStr">
        <is>
          <t>SPM-44-TC05</t>
        </is>
      </c>
      <c r="B87" s="17" t="inlineStr">
        <is>
          <t>SPM-44</t>
        </is>
      </c>
      <c r="C87" s="17" t="inlineStr">
        <is>
          <t>Jordan</t>
        </is>
      </c>
      <c r="D87" s="17" t="inlineStr">
        <is>
          <t>A rejected booking does not hold the slot</t>
        </is>
      </c>
      <c r="E87" s="17" t="inlineStr">
        <is>
          <t>Positive</t>
        </is>
      </c>
      <c r="F87" s="17" t="inlineStr">
        <is>
          <t>SPM-93</t>
        </is>
      </c>
      <c r="G87" s="17" t="inlineStr">
        <is>
          <t>Slot wording and values only: the AC it checks still holds with times on the 15-minute grid.</t>
        </is>
      </c>
      <c r="H87" s="17" t="inlineStr">
        <is>
          <t>Recorded in DECOMMISSIONED.md, 2026-10-19</t>
        </is>
      </c>
      <c r="I87" s="17" t="inlineStr">
        <is>
          <t>Yes - on Sammi's sheet</t>
        </is>
      </c>
      <c r="J87" s="7" t="inlineStr">
        <is>
          <t>Updated</t>
        </is>
      </c>
    </row>
    <row r="88" ht="33" customHeight="1" s="21">
      <c r="A88" s="17" t="inlineStr">
        <is>
          <t>SPM-44-TC06</t>
        </is>
      </c>
      <c r="B88" s="17" t="inlineStr">
        <is>
          <t>SPM-44</t>
        </is>
      </c>
      <c r="C88" s="17" t="inlineStr">
        <is>
          <t>Jordan</t>
        </is>
      </c>
      <c r="D88" s="17" t="inlineStr">
        <is>
          <t>A cancelled (withdrawn or released) booking does not hold the slot</t>
        </is>
      </c>
      <c r="E88" s="17" t="inlineStr">
        <is>
          <t>Positive</t>
        </is>
      </c>
      <c r="F88" s="17" t="inlineStr">
        <is>
          <t>SPM-93</t>
        </is>
      </c>
      <c r="G88" s="17" t="inlineStr">
        <is>
          <t>Slot wording and values only: the AC it checks still holds with times on the 15-minute grid.</t>
        </is>
      </c>
      <c r="H88" s="17" t="inlineStr">
        <is>
          <t>Recorded in DECOMMISSIONED.md, 2026-10-19</t>
        </is>
      </c>
      <c r="I88" s="17" t="inlineStr">
        <is>
          <t>No</t>
        </is>
      </c>
      <c r="J88" s="7" t="inlineStr">
        <is>
          <t>Updated</t>
        </is>
      </c>
    </row>
    <row r="89" ht="33" customHeight="1" s="21">
      <c r="A89" s="17" t="inlineStr">
        <is>
          <t>SPM-44-TC07</t>
        </is>
      </c>
      <c r="B89" s="17" t="inlineStr">
        <is>
          <t>SPM-44</t>
        </is>
      </c>
      <c r="C89" s="17" t="inlineStr">
        <is>
          <t>Jordan</t>
        </is>
      </c>
      <c r="D89" s="17" t="inlineStr">
        <is>
          <t>A different slot IS refused when the other booking's setup occupies it</t>
        </is>
      </c>
      <c r="E89" s="17" t="inlineStr">
        <is>
          <t>Boundary</t>
        </is>
      </c>
      <c r="F89" s="17" t="inlineStr">
        <is>
          <t>SPM-93</t>
        </is>
      </c>
      <c r="G89" s="17" t="inlineStr">
        <is>
          <t>Checks a rule of the fixed AM / PM / Night slots, which no longer exist (setup occupies the other booking's slot).</t>
        </is>
      </c>
      <c r="H89" s="17" t="inlineStr">
        <is>
          <t>Recorded in DECOMMISSIONED.md, 2026-10-19</t>
        </is>
      </c>
      <c r="I89" s="17" t="inlineStr">
        <is>
          <t>No</t>
        </is>
      </c>
      <c r="J89" s="7" t="inlineStr">
        <is>
          <t>Retired</t>
        </is>
      </c>
    </row>
    <row r="90" ht="33" customHeight="1" s="21">
      <c r="A90" s="17" t="inlineStr">
        <is>
          <t>SPM-44-TC08</t>
        </is>
      </c>
      <c r="B90" s="17" t="inlineStr">
        <is>
          <t>SPM-44</t>
        </is>
      </c>
      <c r="C90" s="17" t="inlineStr">
        <is>
          <t>Jordan</t>
        </is>
      </c>
      <c r="D90" s="17" t="inlineStr">
        <is>
          <t>A recorded unavailable period blocks a request, and its reason and dates are shown</t>
        </is>
      </c>
      <c r="E90" s="17" t="inlineStr">
        <is>
          <t>Negative</t>
        </is>
      </c>
      <c r="F90" s="17" t="inlineStr">
        <is>
          <t>SPM-93</t>
        </is>
      </c>
      <c r="G90" s="17" t="inlineStr">
        <is>
          <t>Slot wording and values only: the AC it checks still holds with times on the 15-minute grid.</t>
        </is>
      </c>
      <c r="H90" s="17" t="inlineStr">
        <is>
          <t>Recorded in DECOMMISSIONED.md, 2026-10-19</t>
        </is>
      </c>
      <c r="I90" s="17" t="inlineStr">
        <is>
          <t>No</t>
        </is>
      </c>
      <c r="J90" s="7" t="inlineStr">
        <is>
          <t>Updated</t>
        </is>
      </c>
    </row>
    <row r="91" ht="33" customHeight="1" s="21">
      <c r="A91" s="17" t="inlineStr">
        <is>
          <t>SPM-44-TC09</t>
        </is>
      </c>
      <c r="B91" s="17" t="inlineStr">
        <is>
          <t>SPM-44</t>
        </is>
      </c>
      <c r="C91" s="17" t="inlineStr">
        <is>
          <t>Jordan</t>
        </is>
      </c>
      <c r="D91" s="17" t="inlineStr">
        <is>
          <t>The venue search screen hides a venue whose slot is taken</t>
        </is>
      </c>
      <c r="E91" s="17" t="inlineStr">
        <is>
          <t>Positive</t>
        </is>
      </c>
      <c r="F91" s="17" t="inlineStr">
        <is>
          <t>SPM-93</t>
        </is>
      </c>
      <c r="G91" s="17" t="inlineStr">
        <is>
          <t>Slot wording and values only: the AC it checks still holds with times on the 15-minute grid.</t>
        </is>
      </c>
      <c r="H91" s="17" t="inlineStr">
        <is>
          <t>Recorded in DECOMMISSIONED.md, 2026-10-19</t>
        </is>
      </c>
      <c r="I91" s="17" t="inlineStr">
        <is>
          <t>No</t>
        </is>
      </c>
      <c r="J91" s="7" t="inlineStr">
        <is>
          <t>Updated</t>
        </is>
      </c>
    </row>
    <row r="92" ht="48" customHeight="1" s="21">
      <c r="A92" s="17" t="inlineStr">
        <is>
          <t>SPM-44-TC10</t>
        </is>
      </c>
      <c r="B92" s="17" t="inlineStr">
        <is>
          <t>SPM-44</t>
        </is>
      </c>
      <c r="C92" s="17" t="inlineStr">
        <is>
          <t>Jordan</t>
        </is>
      </c>
      <c r="D92" s="17" t="inlineStr">
        <is>
          <t>A confirmed booking cannot be approved over another confirmed booking</t>
        </is>
      </c>
      <c r="E92" s="17" t="inlineStr">
        <is>
          <t>Negative</t>
        </is>
      </c>
      <c r="F92" s="17" t="inlineStr">
        <is>
          <t>SPM-93, SPM-43</t>
        </is>
      </c>
      <c r="G92" s="17" t="inlineStr">
        <is>
          <t>Slot wording and values only: the AC it checks still holds with times on the 15-minute grid. Its expected result also predates SPM-43's Approve button.</t>
        </is>
      </c>
      <c r="H92" s="17" t="inlineStr">
        <is>
          <t>Recorded in DECOMMISSIONED.md, 2026-10-19</t>
        </is>
      </c>
      <c r="I92" s="17" t="inlineStr">
        <is>
          <t>No</t>
        </is>
      </c>
      <c r="J92" s="7" t="inlineStr">
        <is>
          <t>Updated</t>
        </is>
      </c>
    </row>
    <row r="93" ht="33" customHeight="1" s="21">
      <c r="A93" s="17" t="inlineStr">
        <is>
          <t>SPM-44-TC11</t>
        </is>
      </c>
      <c r="B93" s="17" t="inlineStr">
        <is>
          <t>SPM-44</t>
        </is>
      </c>
      <c r="C93" s="17" t="inlineStr">
        <is>
          <t>Jordan</t>
        </is>
      </c>
      <c r="D93" s="17" t="inlineStr">
        <is>
          <t>A Night booking's turnaround blocks the NEXT morning's AM slot</t>
        </is>
      </c>
      <c r="E93" s="17" t="inlineStr">
        <is>
          <t>Boundary</t>
        </is>
      </c>
      <c r="F93" s="17" t="inlineStr">
        <is>
          <t>SPM-93</t>
        </is>
      </c>
      <c r="G93" s="17" t="inlineStr">
        <is>
          <t>Checks a rule of the fixed AM / PM / Night slots, which no longer exist (a Night turnaround blocks the next AM slot).</t>
        </is>
      </c>
      <c r="H93" s="17" t="inlineStr">
        <is>
          <t>Recorded in DECOMMISSIONED.md, 2026-10-19</t>
        </is>
      </c>
      <c r="I93" s="17" t="inlineStr">
        <is>
          <t>No</t>
        </is>
      </c>
      <c r="J93" s="7" t="inlineStr">
        <is>
          <t>Retired</t>
        </is>
      </c>
    </row>
    <row r="94" ht="63" customHeight="1" s="21">
      <c r="A94" s="17" t="inlineStr">
        <is>
          <t>SPM-45-TC01</t>
        </is>
      </c>
      <c r="B94" s="17" t="inlineStr">
        <is>
          <t>SPM-45</t>
        </is>
      </c>
      <c r="C94" s="17" t="inlineStr">
        <is>
          <t>Kayalvizhi</t>
        </is>
      </c>
      <c r="D94" s="17" t="inlineStr">
        <is>
          <t>A venue is marked unavailable for part of a day, by date and time, with a reason</t>
        </is>
      </c>
      <c r="E94" s="17" t="inlineStr">
        <is>
          <t>Positive</t>
        </is>
      </c>
      <c r="F94" s="17" t="inlineStr">
        <is>
          <t>SPM-80</t>
        </is>
      </c>
      <c r="G94" s="17" t="inlineStr">
        <is>
          <t>Wording only: the AC it checks still holds, but after a save that flags nothing the venue page now reads 'No bookings were affected, so nobody needed to be notified.' (was 'No approved bookings were affected, …'), because a setup or turnaround change also re-checks pending requests.</t>
        </is>
      </c>
      <c r="H94" s="17" t="inlineStr">
        <is>
          <t>Recorded in DECOMMISSIONED.md, 2026-10-20</t>
        </is>
      </c>
      <c r="I94" s="17" t="inlineStr">
        <is>
          <t>Yes - on Janelle's sheet</t>
        </is>
      </c>
      <c r="J94" s="7" t="inlineStr">
        <is>
          <t>Updated</t>
        </is>
      </c>
    </row>
    <row r="95" ht="63" customHeight="1" s="21">
      <c r="A95" s="17" t="inlineStr">
        <is>
          <t>SPM-45-TC08</t>
        </is>
      </c>
      <c r="B95" s="17" t="inlineStr">
        <is>
          <t>SPM-45</t>
        </is>
      </c>
      <c r="C95" s="17" t="inlineStr">
        <is>
          <t>Kayalvizhi</t>
        </is>
      </c>
      <c r="D95" s="17" t="inlineStr">
        <is>
          <t>Changing a period's reason from Other to a listed one drops the typed reason</t>
        </is>
      </c>
      <c r="E95" s="17" t="inlineStr">
        <is>
          <t>Positive</t>
        </is>
      </c>
      <c r="F95" s="17" t="inlineStr">
        <is>
          <t>SPM-80</t>
        </is>
      </c>
      <c r="G95" s="17" t="inlineStr">
        <is>
          <t>Wording only: the AC it checks still holds, but after a save that flags nothing the venue page now reads 'No bookings were affected, so nobody needed to be notified.' (was 'No approved bookings were affected, …'), because a setup or turnaround change also re-checks pending requests.</t>
        </is>
      </c>
      <c r="H95" s="17" t="inlineStr">
        <is>
          <t>Recorded in DECOMMISSIONED.md, 2026-10-20</t>
        </is>
      </c>
      <c r="I95" s="17" t="inlineStr">
        <is>
          <t>No</t>
        </is>
      </c>
      <c r="J95" s="7" t="inlineStr">
        <is>
          <t>Updated</t>
        </is>
      </c>
    </row>
    <row r="96" ht="63" customHeight="1" s="21">
      <c r="A96" s="17" t="inlineStr">
        <is>
          <t>SPM-45-TC11</t>
        </is>
      </c>
      <c r="B96" s="17" t="inlineStr">
        <is>
          <t>SPM-45</t>
        </is>
      </c>
      <c r="C96" s="17" t="inlineStr">
        <is>
          <t>Kayalvizhi</t>
        </is>
      </c>
      <c r="D96" s="17" t="inlineStr">
        <is>
          <t>Shortening a period flags nothing</t>
        </is>
      </c>
      <c r="E96" s="17" t="inlineStr">
        <is>
          <t>Negative</t>
        </is>
      </c>
      <c r="F96" s="17" t="inlineStr">
        <is>
          <t>SPM-80</t>
        </is>
      </c>
      <c r="G96" s="17" t="inlineStr">
        <is>
          <t>Wording only: the AC it checks still holds, but after a save that flags nothing the venue page now reads 'No bookings were affected, so nobody needed to be notified.' (was 'No approved bookings were affected, …'), because a setup or turnaround change also re-checks pending requests.</t>
        </is>
      </c>
      <c r="H96" s="17" t="inlineStr">
        <is>
          <t>Recorded in DECOMMISSIONED.md, 2026-10-20</t>
        </is>
      </c>
      <c r="I96" s="17" t="inlineStr">
        <is>
          <t>No</t>
        </is>
      </c>
      <c r="J96" s="7" t="inlineStr">
        <is>
          <t>Updated</t>
        </is>
      </c>
    </row>
    <row r="97" ht="33" customHeight="1" s="21">
      <c r="A97" s="17" t="inlineStr">
        <is>
          <t>SPM-46-TC01</t>
        </is>
      </c>
      <c r="B97" s="17" t="inlineStr">
        <is>
          <t>SPM-46</t>
        </is>
      </c>
      <c r="C97" s="17" t="inlineStr">
        <is>
          <t>Kayalvizhi</t>
        </is>
      </c>
      <c r="D97" s="17" t="inlineStr">
        <is>
          <t>Open a venue's availability and read the grid</t>
        </is>
      </c>
      <c r="E97" s="17" t="inlineStr">
        <is>
          <t>Positive</t>
        </is>
      </c>
      <c r="F97" s="17" t="inlineStr">
        <is>
          <t>SPM-93</t>
        </is>
      </c>
      <c r="G97" s="17" t="inlineStr">
        <is>
          <t>Slot wording and values only: the AC it checks still holds with times on the 15-minute grid.</t>
        </is>
      </c>
      <c r="H97" s="17" t="inlineStr">
        <is>
          <t>Recorded in DECOMMISSIONED.md, 2026-10-19</t>
        </is>
      </c>
      <c r="I97" s="17" t="inlineStr">
        <is>
          <t>Yes - on Janelle's sheet</t>
        </is>
      </c>
      <c r="J97" s="7" t="inlineStr">
        <is>
          <t>Updated</t>
        </is>
      </c>
    </row>
    <row r="98" ht="33" customHeight="1" s="21">
      <c r="A98" s="17" t="inlineStr">
        <is>
          <t>SPM-46-TC05</t>
        </is>
      </c>
      <c r="B98" s="17" t="inlineStr">
        <is>
          <t>SPM-46</t>
        </is>
      </c>
      <c r="C98" s="17" t="inlineStr">
        <is>
          <t>Kayalvizhi</t>
        </is>
      </c>
      <c r="D98" s="17" t="inlineStr">
        <is>
          <t>A Night event's setup takes the whole PM slot, and its turnaround the next day's AM</t>
        </is>
      </c>
      <c r="E98" s="17" t="inlineStr">
        <is>
          <t>Positive</t>
        </is>
      </c>
      <c r="F98" s="17" t="inlineStr">
        <is>
          <t>SPM-93</t>
        </is>
      </c>
      <c r="G98" s="17" t="inlineStr">
        <is>
          <t>Checks a rule of the fixed AM / PM / Night slots, which no longer exist (a Night event's setup takes the whole PM slot).</t>
        </is>
      </c>
      <c r="H98" s="17" t="inlineStr">
        <is>
          <t>Recorded in DECOMMISSIONED.md, 2026-10-19</t>
        </is>
      </c>
      <c r="I98" s="17" t="inlineStr">
        <is>
          <t>No</t>
        </is>
      </c>
      <c r="J98" s="7" t="inlineStr">
        <is>
          <t>Retired</t>
        </is>
      </c>
    </row>
    <row r="99" ht="33" customHeight="1" s="21">
      <c r="A99" s="17" t="inlineStr">
        <is>
          <t>SPM-46-TC06</t>
        </is>
      </c>
      <c r="B99" s="17" t="inlineStr">
        <is>
          <t>SPM-46</t>
        </is>
      </c>
      <c r="C99" s="17" t="inlineStr">
        <is>
          <t>Kayalvizhi</t>
        </is>
      </c>
      <c r="D99" s="17" t="inlineStr">
        <is>
          <t>An event's setup takes the whole slot before it, on the previous day where needed</t>
        </is>
      </c>
      <c r="E99" s="17" t="inlineStr">
        <is>
          <t>Positive</t>
        </is>
      </c>
      <c r="F99" s="17" t="inlineStr">
        <is>
          <t>SPM-93</t>
        </is>
      </c>
      <c r="G99" s="17" t="inlineStr">
        <is>
          <t>Checks a rule of the fixed AM / PM / Night slots, which no longer exist (setup takes the whole slot before, on the previous day).</t>
        </is>
      </c>
      <c r="H99" s="17" t="inlineStr">
        <is>
          <t>Recorded in DECOMMISSIONED.md, 2026-10-19</t>
        </is>
      </c>
      <c r="I99" s="17" t="inlineStr">
        <is>
          <t>No</t>
        </is>
      </c>
      <c r="J99" s="7" t="inlineStr">
        <is>
          <t>Retired</t>
        </is>
      </c>
    </row>
    <row r="100" ht="33" customHeight="1" s="21">
      <c r="A100" s="17" t="inlineStr">
        <is>
          <t>SPM-46-TC07</t>
        </is>
      </c>
      <c r="B100" s="17" t="inlineStr">
        <is>
          <t>SPM-46</t>
        </is>
      </c>
      <c r="C100" s="17" t="inlineStr">
        <is>
          <t>Kayalvizhi</t>
        </is>
      </c>
      <c r="D100" s="17" t="inlineStr">
        <is>
          <t>A venue's opening hours mark slots Closed, or name the hours it is open</t>
        </is>
      </c>
      <c r="E100" s="17" t="inlineStr">
        <is>
          <t>Boundary</t>
        </is>
      </c>
      <c r="F100" s="17" t="inlineStr">
        <is>
          <t>SPM-93</t>
        </is>
      </c>
      <c r="G100" s="17" t="inlineStr">
        <is>
          <t>Checks a rule of the fixed AM / PM / Night slots, which no longer exist (opening hours mark slot cells Closed).</t>
        </is>
      </c>
      <c r="H100" s="17" t="inlineStr">
        <is>
          <t>Recorded in DECOMMISSIONED.md, 2026-10-19</t>
        </is>
      </c>
      <c r="I100" s="17" t="inlineStr">
        <is>
          <t>No</t>
        </is>
      </c>
      <c r="J100" s="7" t="inlineStr">
        <is>
          <t>Retired</t>
        </is>
      </c>
    </row>
    <row r="101" ht="33" customHeight="1" s="21">
      <c r="A101" s="17" t="inlineStr">
        <is>
          <t>SPM-46-TC08</t>
        </is>
      </c>
      <c r="B101" s="17" t="inlineStr">
        <is>
          <t>SPM-46</t>
        </is>
      </c>
      <c r="C101" s="17" t="inlineStr">
        <is>
          <t>Kayalvizhi</t>
        </is>
      </c>
      <c r="D101" s="17" t="inlineStr">
        <is>
          <t>An unavailable period covers every slot from its first day to its last, and no further</t>
        </is>
      </c>
      <c r="E101" s="17" t="inlineStr">
        <is>
          <t>Boundary</t>
        </is>
      </c>
      <c r="F101" s="17" t="inlineStr">
        <is>
          <t>SPM-93</t>
        </is>
      </c>
      <c r="G101" s="17" t="inlineStr">
        <is>
          <t>Checks a rule of the fixed AM / PM / Night slots, which no longer exist (an unavailable period covers every slot cell).</t>
        </is>
      </c>
      <c r="H101" s="17" t="inlineStr">
        <is>
          <t>Recorded in DECOMMISSIONED.md, 2026-10-19</t>
        </is>
      </c>
      <c r="I101" s="17" t="inlineStr">
        <is>
          <t>No</t>
        </is>
      </c>
      <c r="J101" s="7" t="inlineStr">
        <is>
          <t>Retired</t>
        </is>
      </c>
    </row>
    <row r="102" ht="33" customHeight="1" s="21">
      <c r="A102" s="17" t="inlineStr">
        <is>
          <t>SPM-46-TC09</t>
        </is>
      </c>
      <c r="B102" s="17" t="inlineStr">
        <is>
          <t>SPM-46</t>
        </is>
      </c>
      <c r="C102" s="17" t="inlineStr">
        <is>
          <t>Kayalvizhi</t>
        </is>
      </c>
      <c r="D102" s="17" t="inlineStr">
        <is>
          <t>Two overlapping unavailable periods are identified as overlapping</t>
        </is>
      </c>
      <c r="E102" s="17" t="inlineStr">
        <is>
          <t>Positive</t>
        </is>
      </c>
      <c r="F102" s="17" t="inlineStr">
        <is>
          <t>SPM-93</t>
        </is>
      </c>
      <c r="G102" s="17" t="inlineStr">
        <is>
          <t>Slot wording and values only: the AC it checks still holds with times on the 15-minute grid.</t>
        </is>
      </c>
      <c r="H102" s="17" t="inlineStr">
        <is>
          <t>Recorded in DECOMMISSIONED.md, 2026-10-19</t>
        </is>
      </c>
      <c r="I102" s="17" t="inlineStr">
        <is>
          <t>Yes - on Janelle's sheet</t>
        </is>
      </c>
      <c r="J102" s="7" t="inlineStr">
        <is>
          <t>Updated</t>
        </is>
      </c>
    </row>
    <row r="103" ht="33" customHeight="1" s="21">
      <c r="A103" s="17" t="inlineStr">
        <is>
          <t>SPM-46-TC10</t>
        </is>
      </c>
      <c r="B103" s="17" t="inlineStr">
        <is>
          <t>SPM-46</t>
        </is>
      </c>
      <c r="C103" s="17" t="inlineStr">
        <is>
          <t>Kayalvizhi</t>
        </is>
      </c>
      <c r="D103" s="17" t="inlineStr">
        <is>
          <t>An Event Coordinator and an Operations Manager can open the calendar</t>
        </is>
      </c>
      <c r="E103" s="17" t="inlineStr">
        <is>
          <t>Positive</t>
        </is>
      </c>
      <c r="F103" s="17" t="inlineStr">
        <is>
          <t>SPM-84</t>
        </is>
      </c>
      <c r="G103" s="17" t="inlineStr">
        <is>
          <t>Wording only: the case names the role, which is now shown as the Event Coordinator Lead; the AC it checks still holds.</t>
        </is>
      </c>
      <c r="H103" s="17" t="inlineStr">
        <is>
          <t>Recorded in DECOMMISSIONED.md, 2026-10-20</t>
        </is>
      </c>
      <c r="I103" s="17" t="inlineStr">
        <is>
          <t>Yes - on Janelle's sheet</t>
        </is>
      </c>
      <c r="J103" s="7" t="inlineStr">
        <is>
          <t>Updated</t>
        </is>
      </c>
    </row>
    <row r="104" ht="33" customHeight="1" s="21">
      <c r="A104" s="17" t="inlineStr">
        <is>
          <t>SPM-46-TC12</t>
        </is>
      </c>
      <c r="B104" s="17" t="inlineStr">
        <is>
          <t>SPM-46</t>
        </is>
      </c>
      <c r="C104" s="17" t="inlineStr">
        <is>
          <t>Kayalvizhi</t>
        </is>
      </c>
      <c r="D104" s="17" t="inlineStr">
        <is>
          <t>An approved booking blocks its slots, and is listed, even while its event is still in planning</t>
        </is>
      </c>
      <c r="E104" s="17" t="inlineStr">
        <is>
          <t>Positive</t>
        </is>
      </c>
      <c r="F104" s="17" t="inlineStr">
        <is>
          <t>SPM-93</t>
        </is>
      </c>
      <c r="G104" s="17" t="inlineStr">
        <is>
          <t>Slot wording and values only: the AC it checks still holds with times on the 15-minute grid.</t>
        </is>
      </c>
      <c r="H104" s="17" t="inlineStr">
        <is>
          <t>Recorded in DECOMMISSIONED.md, 2026-10-19</t>
        </is>
      </c>
      <c r="I104" s="17" t="inlineStr">
        <is>
          <t>Yes - on Janelle's sheet</t>
        </is>
      </c>
      <c r="J104" s="7" t="inlineStr">
        <is>
          <t>Updated</t>
        </is>
      </c>
    </row>
    <row r="105" ht="33" customHeight="1" s="21">
      <c r="A105" s="17" t="inlineStr">
        <is>
          <t>SPM-46-TC13</t>
        </is>
      </c>
      <c r="B105" s="17" t="inlineStr">
        <is>
          <t>SPM-46</t>
        </is>
      </c>
      <c r="C105" s="17" t="inlineStr">
        <is>
          <t>Kayalvizhi</t>
        </is>
      </c>
      <c r="D105" s="17" t="inlineStr">
        <is>
          <t>Only an approved booking takes a slot; a pending request is shown but does not</t>
        </is>
      </c>
      <c r="E105" s="17" t="inlineStr">
        <is>
          <t>Negative</t>
        </is>
      </c>
      <c r="F105" s="17" t="inlineStr">
        <is>
          <t>SPM-93</t>
        </is>
      </c>
      <c r="G105" s="17" t="inlineStr">
        <is>
          <t>Slot wording and values only: the AC it checks still holds with times on the 15-minute grid.</t>
        </is>
      </c>
      <c r="H105" s="17" t="inlineStr">
        <is>
          <t>Recorded in DECOMMISSIONED.md, 2026-10-19</t>
        </is>
      </c>
      <c r="I105" s="17" t="inlineStr">
        <is>
          <t>No</t>
        </is>
      </c>
      <c r="J105" s="7" t="inlineStr">
        <is>
          <t>Updated</t>
        </is>
      </c>
    </row>
    <row r="106" ht="33" customHeight="1" s="21">
      <c r="A106" s="17" t="inlineStr">
        <is>
          <t>SPM-46-TC14</t>
        </is>
      </c>
      <c r="B106" s="17" t="inlineStr">
        <is>
          <t>SPM-46</t>
        </is>
      </c>
      <c r="C106" s="17" t="inlineStr">
        <is>
          <t>Kayalvizhi</t>
        </is>
      </c>
      <c r="D106" s="17" t="inlineStr">
        <is>
          <t>A retired venue's slots are never offered as free</t>
        </is>
      </c>
      <c r="E106" s="17" t="inlineStr">
        <is>
          <t>Negative</t>
        </is>
      </c>
      <c r="F106" s="17" t="inlineStr">
        <is>
          <t>SPM-93</t>
        </is>
      </c>
      <c r="G106" s="17" t="inlineStr">
        <is>
          <t>Slot wording and values only: the AC it checks still holds with times on the 15-minute grid.</t>
        </is>
      </c>
      <c r="H106" s="17" t="inlineStr">
        <is>
          <t>Recorded in DECOMMISSIONED.md, 2026-10-19</t>
        </is>
      </c>
      <c r="I106" s="17" t="inlineStr">
        <is>
          <t>No</t>
        </is>
      </c>
      <c r="J106" s="7" t="inlineStr">
        <is>
          <t>Updated</t>
        </is>
      </c>
    </row>
    <row r="107" ht="63" customHeight="1" s="21">
      <c r="A107" s="17" t="inlineStr">
        <is>
          <t>SPM-51-TC05</t>
        </is>
      </c>
      <c r="B107" s="17" t="inlineStr">
        <is>
          <t>SPM-51</t>
        </is>
      </c>
      <c r="C107" s="17" t="inlineStr">
        <is>
          <t>Sammi</t>
        </is>
      </c>
      <c r="D107" s="17" t="inlineStr">
        <is>
          <t>Once the capacity is reached, registration is refused and the waiting list is offered instead</t>
        </is>
      </c>
      <c r="E107" s="17" t="inlineStr">
        <is>
          <t>Negative</t>
        </is>
      </c>
      <c r="F107" s="17" t="inlineStr">
        <is>
          <t>SPM-66</t>
        </is>
      </c>
      <c r="G107" s="17" t="inlineStr">
        <is>
          <t>Wording only: a full event's card now has a 'Join waiting list' button with the optional Dietary and Accessibility requirements, instead of 'Joining the waiting list isn't available yet.'; there is still no 'Register' button, so the AC it checks still holds.</t>
        </is>
      </c>
      <c r="H107" s="17" t="inlineStr">
        <is>
          <t>Recorded in DECOMMISSIONED.md, 2026-10-27</t>
        </is>
      </c>
      <c r="I107" s="17" t="inlineStr">
        <is>
          <t>No</t>
        </is>
      </c>
      <c r="J107" s="7" t="inlineStr">
        <is>
          <t>Updated</t>
        </is>
      </c>
    </row>
    <row r="108" ht="78" customHeight="1" s="21">
      <c r="A108" s="17" t="inlineStr">
        <is>
          <t>SPM-51-TC11</t>
        </is>
      </c>
      <c r="B108" s="17" t="inlineStr">
        <is>
          <t>SPM-51</t>
        </is>
      </c>
      <c r="C108" s="17" t="inlineStr">
        <is>
          <t>Sammi</t>
        </is>
      </c>
      <c r="D108" s="17" t="inlineStr">
        <is>
          <t>My Registrations lists the attendee's registrations with their status</t>
        </is>
      </c>
      <c r="E108" s="17" t="inlineStr">
        <is>
          <t>Positive</t>
        </is>
      </c>
      <c r="F108" s="17" t="inlineStr">
        <is>
          <t>SPM-66</t>
        </is>
      </c>
      <c r="G108" s="17" t="inlineStr">
        <is>
          <t>Wording only: a waiting attendee's card now reads 'You're number 1 on the waiting list.' (was 'You're on the waiting list.') with a 'Leave waiting list' button, and My Registrations shows 'Number 1 in the queue' under the badge; there is still no 'Register' button, so the AC it checks still holds.</t>
        </is>
      </c>
      <c r="H108" s="17" t="inlineStr">
        <is>
          <t>Recorded in DECOMMISSIONED.md, 2026-10-27</t>
        </is>
      </c>
      <c r="I108" s="17" t="inlineStr">
        <is>
          <t>Yes - on Janelle's sheet</t>
        </is>
      </c>
      <c r="J108" s="7" t="inlineStr">
        <is>
          <t>Updated</t>
        </is>
      </c>
    </row>
    <row r="109" ht="78" customHeight="1" s="21">
      <c r="A109" s="17" t="inlineStr">
        <is>
          <t>SPM-52-TC07</t>
        </is>
      </c>
      <c r="B109" s="17" t="inlineStr">
        <is>
          <t>SPM-52</t>
        </is>
      </c>
      <c r="C109" s="17" t="inlineStr">
        <is>
          <t>Sammi</t>
        </is>
      </c>
      <c r="D109" s="17" t="inlineStr">
        <is>
          <t>Only a Registered registration offers Withdraw: waiting list, withdrawn and attended ones do not</t>
        </is>
      </c>
      <c r="E109" s="17" t="inlineStr">
        <is>
          <t>Negative</t>
        </is>
      </c>
      <c r="F109" s="17" t="inlineStr">
        <is>
          <t>SPM-66</t>
        </is>
      </c>
      <c r="G109" s="17" t="inlineStr">
        <is>
          <t>Wording only: a waiting attendee's card now reads 'You're number 1 on the waiting list.' (was 'You're on the waiting list.') with a 'Leave waiting list' button, and My Registrations shows 'Number 1 in the queue' under the badge; there is still no 'Withdraw' button, so the AC it checks still holds.</t>
        </is>
      </c>
      <c r="H109" s="17" t="inlineStr">
        <is>
          <t>Recorded in DECOMMISSIONED.md, 2026-10-27</t>
        </is>
      </c>
      <c r="I109" s="17" t="inlineStr">
        <is>
          <t>No</t>
        </is>
      </c>
      <c r="J109" s="7" t="inlineStr">
        <is>
          <t>Updated</t>
        </is>
      </c>
    </row>
    <row r="110" ht="33" customHeight="1" s="21">
      <c r="A110" s="17" t="inlineStr">
        <is>
          <t>SPM-52-TC09</t>
        </is>
      </c>
      <c r="B110" s="17" t="inlineStr">
        <is>
          <t>SPM-52</t>
        </is>
      </c>
      <c r="C110" s="17" t="inlineStr">
        <is>
          <t>Sammi</t>
        </is>
      </c>
      <c r="D110" s="17" t="inlineStr">
        <is>
          <t>The Ops Manager does not see the places taken or the withdrawals on the Registration card</t>
        </is>
      </c>
      <c r="E110" s="17" t="inlineStr">
        <is>
          <t>Negative</t>
        </is>
      </c>
      <c r="F110" s="17" t="inlineStr">
        <is>
          <t>SPM-84</t>
        </is>
      </c>
      <c r="G110" s="17" t="inlineStr">
        <is>
          <t>Wording only: the case names the role, which is now shown as the Event Coordinator Lead; the AC it checks still holds.</t>
        </is>
      </c>
      <c r="H110" s="17" t="inlineStr">
        <is>
          <t>Recorded in DECOMMISSIONED.md, 2026-10-20</t>
        </is>
      </c>
      <c r="I110" s="17" t="inlineStr">
        <is>
          <t>No</t>
        </is>
      </c>
      <c r="J110" s="7" t="inlineStr">
        <is>
          <t>Updated</t>
        </is>
      </c>
    </row>
    <row r="111" ht="33" customHeight="1" s="21">
      <c r="A111" s="17" t="inlineStr">
        <is>
          <t>SPM-54-TC04</t>
        </is>
      </c>
      <c r="B111" s="17" t="inlineStr">
        <is>
          <t>SPM-54</t>
        </is>
      </c>
      <c r="C111" s="17" t="inlineStr">
        <is>
          <t>Kristen</t>
        </is>
      </c>
      <c r="D111" s="17" t="inlineStr">
        <is>
          <t>Requesting a venue booking for an Approved event moves it to Planning</t>
        </is>
      </c>
      <c r="E111" s="17" t="inlineStr">
        <is>
          <t>Positive</t>
        </is>
      </c>
      <c r="F111" s="17" t="inlineStr">
        <is>
          <t>SPM-93</t>
        </is>
      </c>
      <c r="G111" s="17" t="inlineStr">
        <is>
          <t>Slot wording and values only: the AC it checks still holds with times on the 15-minute grid.</t>
        </is>
      </c>
      <c r="H111" s="17" t="inlineStr">
        <is>
          <t>Recorded in DECOMMISSIONED.md, 2026-10-19</t>
        </is>
      </c>
      <c r="I111" s="17" t="inlineStr">
        <is>
          <t>No</t>
        </is>
      </c>
      <c r="J111" s="7" t="inlineStr">
        <is>
          <t>Updated</t>
        </is>
      </c>
    </row>
    <row r="112" ht="33" customHeight="1" s="21">
      <c r="A112" s="17" t="inlineStr">
        <is>
          <t>SPM-54-TC08</t>
        </is>
      </c>
      <c r="B112" s="17" t="inlineStr">
        <is>
          <t>SPM-54</t>
        </is>
      </c>
      <c r="C112" s="17" t="inlineStr">
        <is>
          <t>Kristen</t>
        </is>
      </c>
      <c r="D112" s="17" t="inlineStr">
        <is>
          <t>A venue search by anyone other than the assigned coordinator does not begin planning</t>
        </is>
      </c>
      <c r="E112" s="17" t="inlineStr">
        <is>
          <t>Negative</t>
        </is>
      </c>
      <c r="F112" s="17" t="inlineStr">
        <is>
          <t>SPM-84</t>
        </is>
      </c>
      <c r="G112" s="17" t="inlineStr">
        <is>
          <t>Wording only: the case names the role, which is now shown as the Event Coordinator Lead; the AC it checks still holds.</t>
        </is>
      </c>
      <c r="H112" s="17" t="inlineStr">
        <is>
          <t>Recorded in DECOMMISSIONED.md, 2026-10-20</t>
        </is>
      </c>
      <c r="I112" s="17" t="inlineStr">
        <is>
          <t>No</t>
        </is>
      </c>
      <c r="J112" s="7" t="inlineStr">
        <is>
          <t>Updated</t>
        </is>
      </c>
    </row>
    <row r="113" ht="63" customHeight="1" s="21">
      <c r="A113" s="17" t="inlineStr">
        <is>
          <t>SPM-54-TC13</t>
        </is>
      </c>
      <c r="B113" s="17" t="inlineStr">
        <is>
          <t>SPM-54</t>
        </is>
      </c>
      <c r="C113" s="17" t="inlineStr">
        <is>
          <t>Kristen</t>
        </is>
      </c>
      <c r="D113" s="17" t="inlineStr">
        <is>
          <t>A venue search does not pull a Confirmed or Rejected event into Planning</t>
        </is>
      </c>
      <c r="E113" s="17" t="inlineStr">
        <is>
          <t>Negative</t>
        </is>
      </c>
      <c r="F113" s="17" t="inlineStr">
        <is>
          <t>SPM-59</t>
        </is>
      </c>
      <c r="G113" s="17" t="inlineStr">
        <is>
          <t>Wording only: the closed-event message now names withdrawn events; the AC it checks still holds. Step 8 now reads 'A venue cannot be requested for a completed, cancelled, rejected or withdrawn event.' (was '... completed, cancelled or rejected event.').</t>
        </is>
      </c>
      <c r="H113" s="17" t="inlineStr">
        <is>
          <t>Recorded in DECOMMISSIONED.md, 2026-10-23</t>
        </is>
      </c>
      <c r="I113" s="17" t="inlineStr">
        <is>
          <t>No</t>
        </is>
      </c>
      <c r="J113" s="7" t="inlineStr">
        <is>
          <t>Updated</t>
        </is>
      </c>
    </row>
    <row r="114" ht="48" customHeight="1" s="21">
      <c r="A114" s="17" t="inlineStr">
        <is>
          <t>SPM-54-TC14</t>
        </is>
      </c>
      <c r="B114" s="17" t="inlineStr">
        <is>
          <t>SPM-54</t>
        </is>
      </c>
      <c r="C114" s="17" t="inlineStr">
        <is>
          <t>Kristen</t>
        </is>
      </c>
      <c r="D114" s="17" t="inlineStr">
        <is>
          <t>Once in Planning, the coordinator can request a venue booking and record equipment, and sees each with its status</t>
        </is>
      </c>
      <c r="E114" s="17" t="inlineStr">
        <is>
          <t>Positive</t>
        </is>
      </c>
      <c r="F114" s="17" t="inlineStr">
        <is>
          <t>SPM-93</t>
        </is>
      </c>
      <c r="G114" s="17" t="inlineStr">
        <is>
          <t>Slot wording and values only: the AC it checks still holds with times on the 15-minute grid.</t>
        </is>
      </c>
      <c r="H114" s="17" t="inlineStr">
        <is>
          <t>Recorded in DECOMMISSIONED.md, 2026-10-19</t>
        </is>
      </c>
      <c r="I114" s="17" t="inlineStr">
        <is>
          <t>No</t>
        </is>
      </c>
      <c r="J114" s="7" t="inlineStr">
        <is>
          <t>Updated</t>
        </is>
      </c>
    </row>
    <row r="115" ht="48" customHeight="1" s="21">
      <c r="A115" s="17" t="inlineStr">
        <is>
          <t>SPM-55-TC10</t>
        </is>
      </c>
      <c r="B115" s="17" t="inlineStr">
        <is>
          <t>SPM-55</t>
        </is>
      </c>
      <c r="C115" s="17" t="inlineStr">
        <is>
          <t>Janelle</t>
        </is>
      </c>
      <c r="D115" s="17" t="inlineStr">
        <is>
          <t>A Coordinator and the Operations Manager can see each item's operational status but not change it</t>
        </is>
      </c>
      <c r="E115" s="17" t="inlineStr">
        <is>
          <t>Positive</t>
        </is>
      </c>
      <c r="F115" s="17" t="inlineStr">
        <is>
          <t>SPM-84</t>
        </is>
      </c>
      <c r="G115" s="17" t="inlineStr">
        <is>
          <t>Wording only: the case names the role, which is now shown as the Event Coordinator Lead; the AC it checks still holds.</t>
        </is>
      </c>
      <c r="H115" s="17" t="inlineStr">
        <is>
          <t>Recorded in DECOMMISSIONED.md, 2026-10-20</t>
        </is>
      </c>
      <c r="I115" s="17" t="inlineStr">
        <is>
          <t>No</t>
        </is>
      </c>
      <c r="J115" s="7" t="inlineStr">
        <is>
          <t>Updated</t>
        </is>
      </c>
    </row>
    <row r="116" ht="33" customHeight="1" s="21">
      <c r="A116" s="17" t="inlineStr">
        <is>
          <t>SPM-59-TC06</t>
        </is>
      </c>
      <c r="B116" s="17" t="inlineStr">
        <is>
          <t>SPM-59</t>
        </is>
      </c>
      <c r="C116" s="17" t="inlineStr">
        <is>
          <t>Jordan</t>
        </is>
      </c>
      <c r="D116" s="17" t="inlineStr">
        <is>
          <t>A withdrawn request can no longer be reviewed, booked, equipped or reassigned</t>
        </is>
      </c>
      <c r="E116" s="17" t="inlineStr">
        <is>
          <t>Negative</t>
        </is>
      </c>
      <c r="F116" s="17" t="inlineStr">
        <is>
          <t>SPM-84</t>
        </is>
      </c>
      <c r="G116" s="17" t="inlineStr">
        <is>
          <t>Still says 'Ops Manager'; the role is now shown as Event Coordinator Lead.</t>
        </is>
      </c>
      <c r="H116" s="17" t="inlineStr">
        <is>
          <t>Found by searching the case text; recorded in DECOMMISSIONED.md, 2026-10-30</t>
        </is>
      </c>
      <c r="I116" s="17" t="inlineStr">
        <is>
          <t>No</t>
        </is>
      </c>
      <c r="J116" s="7" t="inlineStr">
        <is>
          <t>Updated</t>
        </is>
      </c>
    </row>
    <row r="117" ht="33" customHeight="1" s="21">
      <c r="A117" s="17" t="inlineStr">
        <is>
          <t>SPM-62-TC16</t>
        </is>
      </c>
      <c r="B117" s="17" t="inlineStr">
        <is>
          <t>SPM-62</t>
        </is>
      </c>
      <c r="C117" s="17" t="inlineStr">
        <is>
          <t>Kristen</t>
        </is>
      </c>
      <c r="D117" s="17" t="inlineStr">
        <is>
          <t>The Operations Manager cannot edit an event's information</t>
        </is>
      </c>
      <c r="E117" s="17" t="inlineStr">
        <is>
          <t>Negative</t>
        </is>
      </c>
      <c r="F117" s="17" t="inlineStr">
        <is>
          <t>SPM-84</t>
        </is>
      </c>
      <c r="G117" s="17" t="inlineStr">
        <is>
          <t>Wording only: the case names the role, which is now shown as the Event Coordinator Lead; the AC it checks still holds.</t>
        </is>
      </c>
      <c r="H117" s="17" t="inlineStr">
        <is>
          <t>Recorded in DECOMMISSIONED.md, 2026-10-20</t>
        </is>
      </c>
      <c r="I117" s="17" t="inlineStr">
        <is>
          <t>No</t>
        </is>
      </c>
      <c r="J117" s="7" t="inlineStr">
        <is>
          <t>Updated</t>
        </is>
      </c>
    </row>
    <row r="118" ht="48" customHeight="1" s="21">
      <c r="A118" s="17" t="inlineStr">
        <is>
          <t>SPM-64-TC16</t>
        </is>
      </c>
      <c r="B118" s="17" t="inlineStr">
        <is>
          <t>SPM-64</t>
        </is>
      </c>
      <c r="C118" s="17" t="inlineStr">
        <is>
          <t>Sammi</t>
        </is>
      </c>
      <c r="D118" s="17" t="inlineStr">
        <is>
          <t>Incomplete registration setup is outstanding and blocks confirmation until every setting is in place</t>
        </is>
      </c>
      <c r="E118" s="17" t="inlineStr">
        <is>
          <t>Negative</t>
        </is>
      </c>
      <c r="F118" s="17" t="inlineStr">
        <is>
          <t>SPM-88</t>
        </is>
      </c>
      <c r="G118" s="17" t="inlineStr">
        <is>
          <t>Values and a precondition only: the AC it checks still holds, but confirmation now also needs an approved safety check.</t>
        </is>
      </c>
      <c r="H118" s="17" t="inlineStr">
        <is>
          <t>Recorded in DECOMMISSIONED.md, 2026-10-19</t>
        </is>
      </c>
      <c r="I118" s="17" t="inlineStr">
        <is>
          <t>No</t>
        </is>
      </c>
      <c r="J118" s="7" t="inlineStr">
        <is>
          <t>Updated</t>
        </is>
      </c>
    </row>
    <row r="119" ht="33" customHeight="1" s="21">
      <c r="A119" s="17" t="inlineStr">
        <is>
          <t>SPM-64-TC17</t>
        </is>
      </c>
      <c r="B119" s="17" t="inlineStr">
        <is>
          <t>SPM-64</t>
        </is>
      </c>
      <c r="C119" s="17" t="inlineStr">
        <is>
          <t>Sammi</t>
        </is>
      </c>
      <c r="D119" s="17" t="inlineStr">
        <is>
          <t>Registration that is turned off is not an outstanding arrangement</t>
        </is>
      </c>
      <c r="E119" s="17" t="inlineStr">
        <is>
          <t>Positive</t>
        </is>
      </c>
      <c r="F119" s="17" t="inlineStr">
        <is>
          <t>SPM-88</t>
        </is>
      </c>
      <c r="G119" s="17" t="inlineStr">
        <is>
          <t>Values and a precondition only: the AC it checks still holds, but confirmation now also needs an approved safety check.</t>
        </is>
      </c>
      <c r="H119" s="17" t="inlineStr">
        <is>
          <t>Recorded in DECOMMISSIONED.md, 2026-10-19</t>
        </is>
      </c>
      <c r="I119" s="17" t="inlineStr">
        <is>
          <t>Yes - on Sammi's sheet</t>
        </is>
      </c>
      <c r="J119" s="7" t="inlineStr">
        <is>
          <t>Updated</t>
        </is>
      </c>
    </row>
    <row r="120" ht="48" customHeight="1" s="21">
      <c r="A120" s="17" t="inlineStr">
        <is>
          <t>SPM-64-TC18</t>
        </is>
      </c>
      <c r="B120" s="17" t="inlineStr">
        <is>
          <t>SPM-64</t>
        </is>
      </c>
      <c r="C120" s="17" t="inlineStr">
        <is>
          <t>Sammi</t>
        </is>
      </c>
      <c r="D120" s="17" t="inlineStr">
        <is>
          <t>A capacity measured against a booking that is no longer active is outstanding until another booking is chosen</t>
        </is>
      </c>
      <c r="E120" s="17" t="inlineStr">
        <is>
          <t>Negative</t>
        </is>
      </c>
      <c r="F120" s="17" t="inlineStr">
        <is>
          <t>SPM-88</t>
        </is>
      </c>
      <c r="G120" s="17" t="inlineStr">
        <is>
          <t>Values and a precondition only: the AC it checks still holds, but confirmation now also needs an approved safety check.</t>
        </is>
      </c>
      <c r="H120" s="17" t="inlineStr">
        <is>
          <t>Recorded in DECOMMISSIONED.md, 2026-10-19</t>
        </is>
      </c>
      <c r="I120" s="17" t="inlineStr">
        <is>
          <t>No</t>
        </is>
      </c>
      <c r="J120" s="7" t="inlineStr">
        <is>
          <t>Updated</t>
        </is>
      </c>
    </row>
    <row r="121" ht="33" customHeight="1" s="21">
      <c r="A121" s="17" t="inlineStr">
        <is>
          <t>SPM-64-TC24</t>
        </is>
      </c>
      <c r="B121" s="17" t="inlineStr">
        <is>
          <t>SPM-64</t>
        </is>
      </c>
      <c r="C121" s="17" t="inlineStr">
        <is>
          <t>Sammi</t>
        </is>
      </c>
      <c r="D121" s="17" t="inlineStr">
        <is>
          <t>Staff other than the assigned coordinator can't change registration settings</t>
        </is>
      </c>
      <c r="E121" s="17" t="inlineStr">
        <is>
          <t>Negative</t>
        </is>
      </c>
      <c r="F121" s="17" t="inlineStr">
        <is>
          <t>SPM-84</t>
        </is>
      </c>
      <c r="G121" s="17" t="inlineStr">
        <is>
          <t>Wording only: the case names the role, which is now shown as the Event Coordinator Lead; the AC it checks still holds.</t>
        </is>
      </c>
      <c r="H121" s="17" t="inlineStr">
        <is>
          <t>Recorded in DECOMMISSIONED.md, 2026-10-20</t>
        </is>
      </c>
      <c r="I121" s="17" t="inlineStr">
        <is>
          <t>No</t>
        </is>
      </c>
      <c r="J121" s="7" t="inlineStr">
        <is>
          <t>Updated</t>
        </is>
      </c>
    </row>
    <row r="122" ht="48" customHeight="1" s="21">
      <c r="A122" s="17" t="inlineStr">
        <is>
          <t>SPM-67-TC05</t>
        </is>
      </c>
      <c r="B122" s="17" t="inlineStr">
        <is>
          <t>SPM-67</t>
        </is>
      </c>
      <c r="C122" s="17" t="inlineStr">
        <is>
          <t>Kayalvizhi</t>
        </is>
      </c>
      <c r="D122" s="17" t="inlineStr">
        <is>
          <t>After the event's only booking is released, its venue is shown as outstanding and the Coordinator can request a different venue</t>
        </is>
      </c>
      <c r="E122" s="17" t="inlineStr">
        <is>
          <t>Positive</t>
        </is>
      </c>
      <c r="F122" s="17" t="inlineStr">
        <is>
          <t>SPM-88</t>
        </is>
      </c>
      <c r="G122" s="17" t="inlineStr">
        <is>
          <t>Values and a precondition only: the AC it checks still holds, but confirmation now also needs an approved safety check.</t>
        </is>
      </c>
      <c r="H122" s="17" t="inlineStr">
        <is>
          <t>Recorded in DECOMMISSIONED.md, 2026-10-19</t>
        </is>
      </c>
      <c r="I122" s="17" t="inlineStr">
        <is>
          <t>Yes - on Sammi's sheet</t>
        </is>
      </c>
      <c r="J122" s="7" t="inlineStr">
        <is>
          <t>Updated</t>
        </is>
      </c>
    </row>
    <row r="123" ht="48" customHeight="1" s="21">
      <c r="A123" s="17" t="inlineStr">
        <is>
          <t>SPM-67-TC06</t>
        </is>
      </c>
      <c r="B123" s="17" t="inlineStr">
        <is>
          <t>SPM-67</t>
        </is>
      </c>
      <c r="C123" s="17" t="inlineStr">
        <is>
          <t>Kayalvizhi</t>
        </is>
      </c>
      <c r="D123" s="17" t="inlineStr">
        <is>
          <t>A request withdrawn without a reason shows no reason line, leaves the venue outstanding, and the same venue can be requested again</t>
        </is>
      </c>
      <c r="E123" s="17" t="inlineStr">
        <is>
          <t>Boundary</t>
        </is>
      </c>
      <c r="F123" s="17" t="inlineStr">
        <is>
          <t>SPM-88</t>
        </is>
      </c>
      <c r="G123" s="17" t="inlineStr">
        <is>
          <t>Values and a precondition only: the AC it checks still holds, but confirmation now also needs an approved safety check.</t>
        </is>
      </c>
      <c r="H123" s="17" t="inlineStr">
        <is>
          <t>Recorded in DECOMMISSIONED.md, 2026-10-19</t>
        </is>
      </c>
      <c r="I123" s="17" t="inlineStr">
        <is>
          <t>No</t>
        </is>
      </c>
      <c r="J123" s="7" t="inlineStr">
        <is>
          <t>Updated</t>
        </is>
      </c>
    </row>
    <row r="124" ht="33" customHeight="1" s="21">
      <c r="A124" s="17" t="inlineStr">
        <is>
          <t>SPM-67-TC09</t>
        </is>
      </c>
      <c r="B124" s="17" t="inlineStr">
        <is>
          <t>SPM-67</t>
        </is>
      </c>
      <c r="C124" s="17" t="inlineStr">
        <is>
          <t>Kayalvizhi</t>
        </is>
      </c>
      <c r="D124" s="17" t="inlineStr">
        <is>
          <t>The Operations Manager sees an event's bookings but cannot withdraw or release any of them</t>
        </is>
      </c>
      <c r="E124" s="17" t="inlineStr">
        <is>
          <t>Negative</t>
        </is>
      </c>
      <c r="F124" s="17" t="inlineStr">
        <is>
          <t>SPM-84</t>
        </is>
      </c>
      <c r="G124" s="17" t="inlineStr">
        <is>
          <t>Wording only: the case names the role, which is now shown as the Event Coordinator Lead; the AC it checks still holds.</t>
        </is>
      </c>
      <c r="H124" s="17" t="inlineStr">
        <is>
          <t>Recorded in DECOMMISSIONED.md, 2026-10-20</t>
        </is>
      </c>
      <c r="I124" s="17" t="inlineStr">
        <is>
          <t>No</t>
        </is>
      </c>
      <c r="J124" s="7" t="inlineStr">
        <is>
          <t>Updated</t>
        </is>
      </c>
    </row>
    <row r="125" ht="48" customHeight="1" s="21">
      <c r="A125" s="17" t="inlineStr">
        <is>
          <t>SPM-68-TC03</t>
        </is>
      </c>
      <c r="B125" s="17" t="inlineStr">
        <is>
          <t>SPM-68</t>
        </is>
      </c>
      <c r="C125" s="17" t="inlineStr">
        <is>
          <t>Kristen</t>
        </is>
      </c>
      <c r="D125" s="17" t="inlineStr">
        <is>
          <t>Users who are not Event Coordinators have no Flagged Arrangements link and are refused when they type the address</t>
        </is>
      </c>
      <c r="E125" s="17" t="inlineStr">
        <is>
          <t>Negative</t>
        </is>
      </c>
      <c r="F125" s="17" t="inlineStr">
        <is>
          <t>SPM-84</t>
        </is>
      </c>
      <c r="G125" s="17" t="inlineStr">
        <is>
          <t>Wording only: the case names the role, which is now shown as the Event Coordinator Lead; the AC it checks still holds.</t>
        </is>
      </c>
      <c r="H125" s="17" t="inlineStr">
        <is>
          <t>Recorded in DECOMMISSIONED.md, 2026-10-20</t>
        </is>
      </c>
      <c r="I125" s="17" t="inlineStr">
        <is>
          <t>No</t>
        </is>
      </c>
      <c r="J125" s="7" t="inlineStr">
        <is>
          <t>Updated</t>
        </is>
      </c>
    </row>
    <row r="126" ht="78" customHeight="1" s="21">
      <c r="A126" s="17" t="inlineStr">
        <is>
          <t>SPM-68-TC05</t>
        </is>
      </c>
      <c r="B126" s="17" t="inlineStr">
        <is>
          <t>SPM-68</t>
        </is>
      </c>
      <c r="C126" s="17" t="inlineStr">
        <is>
          <t>Kristen</t>
        </is>
      </c>
      <c r="D126" s="17" t="inlineStr">
        <is>
          <t>A flagged venue booking blocks confirmation until it is kept; keeping it from the event's Readiness tab clears the flag, takes it off the Flagged Arrangements page and leaves the booking unchanged</t>
        </is>
      </c>
      <c r="E126" s="17" t="inlineStr">
        <is>
          <t>Positive</t>
        </is>
      </c>
      <c r="F126" s="17" t="inlineStr">
        <is>
          <t>SPM-88</t>
        </is>
      </c>
      <c r="G126" s="17" t="inlineStr">
        <is>
          <t>Values and a precondition only: the AC it checks still holds, but confirmation now also needs an approved safety check.</t>
        </is>
      </c>
      <c r="H126" s="17" t="inlineStr">
        <is>
          <t>Recorded in DECOMMISSIONED.md, 2026-10-19</t>
        </is>
      </c>
      <c r="I126" s="17" t="inlineStr">
        <is>
          <t>Yes - on Sammi's sheet</t>
        </is>
      </c>
      <c r="J126" s="7" t="inlineStr">
        <is>
          <t>Updated</t>
        </is>
      </c>
    </row>
    <row r="127" ht="33" customHeight="1" s="21">
      <c r="A127" s="17" t="inlineStr">
        <is>
          <t>SPM-68-TC12</t>
        </is>
      </c>
      <c r="B127" s="17" t="inlineStr">
        <is>
          <t>SPM-68</t>
        </is>
      </c>
      <c r="C127" s="17" t="inlineStr">
        <is>
          <t>Kristen</t>
        </is>
      </c>
      <c r="D127" s="17" t="inlineStr">
        <is>
          <t>An event whose only flag is on its registrations can still be confirmed</t>
        </is>
      </c>
      <c r="E127" s="17" t="inlineStr">
        <is>
          <t>Positive</t>
        </is>
      </c>
      <c r="F127" s="17" t="inlineStr">
        <is>
          <t>SPM-88</t>
        </is>
      </c>
      <c r="G127" s="17" t="inlineStr">
        <is>
          <t>Values and a precondition only: the AC it checks still holds, but confirmation now also needs an approved safety check.</t>
        </is>
      </c>
      <c r="H127" s="17" t="inlineStr">
        <is>
          <t>Recorded in DECOMMISSIONED.md, 2026-10-19</t>
        </is>
      </c>
      <c r="I127" s="17" t="inlineStr">
        <is>
          <t>Yes - on Sammi's sheet</t>
        </is>
      </c>
      <c r="J127" s="7" t="inlineStr">
        <is>
          <t>Updated</t>
        </is>
      </c>
    </row>
    <row r="128" ht="78" customHeight="1" s="21">
      <c r="A128" s="17" t="inlineStr">
        <is>
          <t>SPM-68-TC14</t>
        </is>
      </c>
      <c r="B128" s="17" t="inlineStr">
        <is>
          <t>SPM-68</t>
        </is>
      </c>
      <c r="C128" s="17" t="inlineStr">
        <is>
          <t>Kristen</t>
        </is>
      </c>
      <c r="D128" s="17" t="inlineStr">
        <is>
          <t>The flagged booking is released from the event's Venue tab, reached from the Flagged Arrangements page; it then leaves the page, stays on the event record as Released, and the replacement request and the event are unchanged</t>
        </is>
      </c>
      <c r="E128" s="17" t="inlineStr">
        <is>
          <t>Positive</t>
        </is>
      </c>
      <c r="F128" s="17" t="inlineStr">
        <is>
          <t>SPM-88</t>
        </is>
      </c>
      <c r="G128" s="17" t="inlineStr">
        <is>
          <t>Values and a precondition only: the AC it checks still holds, but confirmation now also needs an approved safety check.</t>
        </is>
      </c>
      <c r="H128" s="17" t="inlineStr">
        <is>
          <t>Recorded in DECOMMISSIONED.md, 2026-10-19</t>
        </is>
      </c>
      <c r="I128" s="17" t="inlineStr">
        <is>
          <t>No</t>
        </is>
      </c>
      <c r="J128" s="7" t="inlineStr">
        <is>
          <t>Updated</t>
        </is>
      </c>
    </row>
    <row r="129" ht="48" customHeight="1" s="21">
      <c r="A129" s="17" t="inlineStr">
        <is>
          <t>SPM-71-TC08</t>
        </is>
      </c>
      <c r="B129" s="17" t="inlineStr">
        <is>
          <t>SPM-71</t>
        </is>
      </c>
      <c r="C129" s="17" t="inlineStr">
        <is>
          <t>Jordan</t>
        </is>
      </c>
      <c r="D129" s="17" t="inlineStr">
        <is>
          <t>An attendee who selects a notification about an event they can no longer see is told it is not available, with no event details</t>
        </is>
      </c>
      <c r="E129" s="17" t="inlineStr">
        <is>
          <t>Negative</t>
        </is>
      </c>
      <c r="F129" s="17" t="inlineStr">
        <is>
          <t>SPM-38</t>
        </is>
      </c>
      <c r="G129" s="17" t="inlineStr">
        <is>
          <t>A precondition only: Zara Ong held a place in the postponed event, so she could now open it. The fixtures give her a withdrawn registration instead, so the case checks the same thing.</t>
        </is>
      </c>
      <c r="H129" s="17" t="inlineStr">
        <is>
          <t>Recorded in DECOMMISSIONED.md, 2026-10-27</t>
        </is>
      </c>
      <c r="I129" s="17" t="inlineStr">
        <is>
          <t>No</t>
        </is>
      </c>
      <c r="J129" s="7" t="inlineStr">
        <is>
          <t>Updated</t>
        </is>
      </c>
    </row>
    <row r="130" ht="63" customHeight="1" s="21">
      <c r="A130" s="17" t="inlineStr">
        <is>
          <t>SPM-77-TC11</t>
        </is>
      </c>
      <c r="B130" s="17" t="inlineStr">
        <is>
          <t>SPM-77</t>
        </is>
      </c>
      <c r="C130" s="17" t="inlineStr">
        <is>
          <t>Kristen</t>
        </is>
      </c>
      <c r="D130" s="17" t="inlineStr">
        <is>
          <t>An event with a suggested alternative still waiting for the Coordinator's decision cannot be submitted for a safety check, so it stays in Planning where the decision can be made</t>
        </is>
      </c>
      <c r="E130" s="17" t="inlineStr">
        <is>
          <t>Negative</t>
        </is>
      </c>
      <c r="F130" s="17" t="inlineStr">
        <is>
          <t>SPM-77 review</t>
        </is>
      </c>
      <c r="G130" s="17" t="inlineStr">
        <is>
          <t>A waiting suggestion now reads '... waiting for the Coordinator's decision' instead of '... waiting for your decision'.</t>
        </is>
      </c>
      <c r="H130" s="17" t="inlineStr">
        <is>
          <t>Recorded in DECOMMISSIONED.md, 2026-10-29</t>
        </is>
      </c>
      <c r="I130" s="17" t="inlineStr">
        <is>
          <t>No</t>
        </is>
      </c>
      <c r="J130" s="7" t="inlineStr">
        <is>
          <t>Updated</t>
        </is>
      </c>
    </row>
    <row r="131" ht="78" customHeight="1" s="21">
      <c r="A131" s="17" t="inlineStr">
        <is>
          <t>SPM-77-TC12</t>
        </is>
      </c>
      <c r="B131" s="17" t="inlineStr">
        <is>
          <t>SPM-77</t>
        </is>
      </c>
      <c r="C131" s="17" t="inlineStr">
        <is>
          <t>Kristen</t>
        </is>
      </c>
      <c r="D131" s="17" t="inlineStr">
        <is>
          <t>The Readiness tab shows an item with a suggested alternative waiting for a decision as Outstanding, points to the Equipment tab to decide it, and shows the item as Complete again once it is declined</t>
        </is>
      </c>
      <c r="E131" s="17" t="inlineStr">
        <is>
          <t>Positive</t>
        </is>
      </c>
      <c r="F131" s="17" t="inlineStr">
        <is>
          <t>SPM-77 review</t>
        </is>
      </c>
      <c r="G131" s="17" t="inlineStr">
        <is>
          <t>A waiting suggestion now reads '... waiting for the Coordinator's decision' instead of '... waiting for your decision'.</t>
        </is>
      </c>
      <c r="H131" s="17" t="inlineStr">
        <is>
          <t>Recorded in DECOMMISSIONED.md, 2026-10-29</t>
        </is>
      </c>
      <c r="I131" s="17" t="inlineStr">
        <is>
          <t>Yes - on Janelle's sheet</t>
        </is>
      </c>
      <c r="J131" s="7" t="inlineStr">
        <is>
          <t>Updated</t>
        </is>
      </c>
    </row>
    <row r="132" ht="78" customHeight="1" s="21">
      <c r="A132" s="17" t="inlineStr">
        <is>
          <t>SPM-77-TC13</t>
        </is>
      </c>
      <c r="B132" s="17" t="inlineStr">
        <is>
          <t>SPM-77</t>
        </is>
      </c>
      <c r="C132" s="17" t="inlineStr">
        <is>
          <t>Kristen</t>
        </is>
      </c>
      <c r="D132" s="17" t="inlineStr">
        <is>
          <t>Accepting an alternative for an item the Coordinator had marked not required makes the alternative Outstanding on the Readiness tab, so it still has to be reserved before the event can be confirmed</t>
        </is>
      </c>
      <c r="E132" s="17" t="inlineStr">
        <is>
          <t>Positive</t>
        </is>
      </c>
      <c r="F132" s="17" t="inlineStr">
        <is>
          <t>SPM-77 review</t>
        </is>
      </c>
      <c r="G132" s="17" t="inlineStr">
        <is>
          <t>A waiting suggestion now reads '... waiting for the Coordinator's decision' instead of '... waiting for your decision'.</t>
        </is>
      </c>
      <c r="H132" s="17" t="inlineStr">
        <is>
          <t>Recorded in DECOMMISSIONED.md, 2026-10-29</t>
        </is>
      </c>
      <c r="I132" s="17" t="inlineStr">
        <is>
          <t>No</t>
        </is>
      </c>
      <c r="J132" s="7" t="inlineStr">
        <is>
          <t>Updated</t>
        </is>
      </c>
    </row>
    <row r="133" ht="48" customHeight="1" s="21">
      <c r="A133" s="17" t="inlineStr">
        <is>
          <t>SPM-81-TC01</t>
        </is>
      </c>
      <c r="B133" s="17" t="inlineStr">
        <is>
          <t>SPM-81</t>
        </is>
      </c>
      <c r="C133" s="17" t="inlineStr">
        <is>
          <t>Kayalvizhi</t>
        </is>
      </c>
      <c r="D133" s="17" t="inlineStr">
        <is>
          <t>The Coordinator requests two different venues for the same event at the same date and times, and both requests are accepted and listed together</t>
        </is>
      </c>
      <c r="E133" s="17" t="inlineStr">
        <is>
          <t>Positive</t>
        </is>
      </c>
      <c r="F133" s="17" t="inlineStr">
        <is>
          <t>SPM-90</t>
        </is>
      </c>
      <c r="G133" s="17" t="inlineStr">
        <is>
          <t>One step is missing: the second request now asks what the space is for (SPM-90).</t>
        </is>
      </c>
      <c r="H133" s="17" t="inlineStr">
        <is>
          <t>Recorded in DECOMMISSIONED.md, 2026-10-19</t>
        </is>
      </c>
      <c r="I133" s="17" t="inlineStr">
        <is>
          <t>Yes - on Sammi's sheet</t>
        </is>
      </c>
      <c r="J133" s="7" t="inlineStr">
        <is>
          <t>Updated</t>
        </is>
      </c>
    </row>
    <row r="134" ht="48" customHeight="1" s="21">
      <c r="A134" s="17" t="inlineStr">
        <is>
          <t>SPM-82-TC08</t>
        </is>
      </c>
      <c r="B134" s="17" t="inlineStr">
        <is>
          <t>SPM-82</t>
        </is>
      </c>
      <c r="C134" s="17" t="inlineStr">
        <is>
          <t>Jordan</t>
        </is>
      </c>
      <c r="D134" s="17" t="inlineStr">
        <is>
          <t>After a hold expires the event's venue arrangement is outstanding, and the event cannot be confirmed on it</t>
        </is>
      </c>
      <c r="E134" s="17" t="inlineStr">
        <is>
          <t>Negative</t>
        </is>
      </c>
      <c r="F134" s="17" t="inlineStr">
        <is>
          <t>SPM-88</t>
        </is>
      </c>
      <c r="G134" s="17" t="inlineStr">
        <is>
          <t>Values and a precondition only: the AC it checks still holds, but confirmation now also needs an approved safety check.</t>
        </is>
      </c>
      <c r="H134" s="17" t="inlineStr">
        <is>
          <t>Recorded in DECOMMISSIONED.md, 2026-10-19</t>
        </is>
      </c>
      <c r="I134" s="17" t="inlineStr">
        <is>
          <t>No</t>
        </is>
      </c>
      <c r="J134" s="7" t="inlineStr">
        <is>
          <t>Updated</t>
        </is>
      </c>
    </row>
    <row r="135" ht="33" customHeight="1" s="21">
      <c r="A135" s="17" t="inlineStr">
        <is>
          <t>SPM-85-TC14</t>
        </is>
      </c>
      <c r="B135" s="17" t="inlineStr">
        <is>
          <t>SPM-85</t>
        </is>
      </c>
      <c r="C135" s="17" t="inlineStr">
        <is>
          <t>Jordan</t>
        </is>
      </c>
      <c r="D135" s="17" t="inlineStr">
        <is>
          <t>The Operations Manager has no Safety Checks link and is refused the Safety Checks page</t>
        </is>
      </c>
      <c r="E135" s="17" t="inlineStr">
        <is>
          <t>Negative</t>
        </is>
      </c>
      <c r="F135" s="17" t="inlineStr">
        <is>
          <t>SPM-84</t>
        </is>
      </c>
      <c r="G135" s="17" t="inlineStr">
        <is>
          <t>Wording only: the case names the role, which is now shown as the Event Coordinator Lead; the AC it checks still holds.</t>
        </is>
      </c>
      <c r="H135" s="17" t="inlineStr">
        <is>
          <t>Recorded in DECOMMISSIONED.md, 2026-10-20</t>
        </is>
      </c>
      <c r="I135" s="17" t="inlineStr">
        <is>
          <t>No</t>
        </is>
      </c>
      <c r="J135" s="7" t="inlineStr">
        <is>
          <t>Updated</t>
        </is>
      </c>
    </row>
    <row r="136" ht="33" customHeight="1" s="21">
      <c r="A136" s="17" t="inlineStr">
        <is>
          <t>SPM-86-TC04</t>
        </is>
      </c>
      <c r="B136" s="17" t="inlineStr">
        <is>
          <t>SPM-86</t>
        </is>
      </c>
      <c r="C136" s="17" t="inlineStr">
        <is>
          <t>Janelle</t>
        </is>
      </c>
      <c r="D136" s="17" t="inlineStr">
        <is>
          <t>Technical Support and the Operations Manager see the Safety review status</t>
        </is>
      </c>
      <c r="E136" s="17" t="inlineStr">
        <is>
          <t>Positive</t>
        </is>
      </c>
      <c r="F136" s="17" t="inlineStr">
        <is>
          <t>SPM-84</t>
        </is>
      </c>
      <c r="G136" s="17" t="inlineStr">
        <is>
          <t>Wording only: the case names the role, which is now shown as the Event Coordinator Lead; the AC it checks still holds.</t>
        </is>
      </c>
      <c r="H136" s="17" t="inlineStr">
        <is>
          <t>Recorded in DECOMMISSIONED.md, 2026-10-20</t>
        </is>
      </c>
      <c r="I136" s="17" t="inlineStr">
        <is>
          <t>No</t>
        </is>
      </c>
      <c r="J136" s="7" t="inlineStr">
        <is>
          <t>Updated</t>
        </is>
      </c>
    </row>
    <row r="137" ht="33" customHeight="1" s="21">
      <c r="A137" s="17" t="inlineStr">
        <is>
          <t>SPM-86-TC10</t>
        </is>
      </c>
      <c r="B137" s="17" t="inlineStr">
        <is>
          <t>SPM-86</t>
        </is>
      </c>
      <c r="C137" s="17" t="inlineStr">
        <is>
          <t>Janelle</t>
        </is>
      </c>
      <c r="D137" s="17" t="inlineStr">
        <is>
          <t>Only the assigned Coordinator is offered the submission</t>
        </is>
      </c>
      <c r="E137" s="17" t="inlineStr">
        <is>
          <t>Negative</t>
        </is>
      </c>
      <c r="F137" s="17" t="inlineStr">
        <is>
          <t>SPM-84</t>
        </is>
      </c>
      <c r="G137" s="17" t="inlineStr">
        <is>
          <t>Wording only: the case names the role, which is now shown as the Event Coordinator Lead; the AC it checks still holds.</t>
        </is>
      </c>
      <c r="H137" s="17" t="inlineStr">
        <is>
          <t>Recorded in DECOMMISSIONED.md, 2026-10-20</t>
        </is>
      </c>
      <c r="I137" s="17" t="inlineStr">
        <is>
          <t>No</t>
        </is>
      </c>
      <c r="J137" s="7" t="inlineStr">
        <is>
          <t>Updated</t>
        </is>
      </c>
    </row>
    <row r="138" ht="33" customHeight="1" s="21">
      <c r="A138" s="17" t="inlineStr">
        <is>
          <t>SPM-87-TC11</t>
        </is>
      </c>
      <c r="B138" s="17" t="inlineStr">
        <is>
          <t>SPM-87</t>
        </is>
      </c>
      <c r="C138" s="17" t="inlineStr">
        <is>
          <t>Janelle</t>
        </is>
      </c>
      <c r="D138" s="17" t="inlineStr">
        <is>
          <t>The assigned Coordinator and the Operations Manager cannot record a safety decision</t>
        </is>
      </c>
      <c r="E138" s="17" t="inlineStr">
        <is>
          <t>Negative</t>
        </is>
      </c>
      <c r="F138" s="17" t="inlineStr">
        <is>
          <t>SPM-84</t>
        </is>
      </c>
      <c r="G138" s="17" t="inlineStr">
        <is>
          <t>Wording only: the case names the role, which is now shown as the Event Coordinator Lead; the AC it checks still holds.</t>
        </is>
      </c>
      <c r="H138" s="17" t="inlineStr">
        <is>
          <t>Recorded in DECOMMISSIONED.md, 2026-10-20</t>
        </is>
      </c>
      <c r="I138" s="17" t="inlineStr">
        <is>
          <t>No</t>
        </is>
      </c>
      <c r="J138" s="7" t="inlineStr">
        <is>
          <t>Updated</t>
        </is>
      </c>
    </row>
    <row r="139" ht="63" customHeight="1" s="21">
      <c r="A139" s="17" t="inlineStr">
        <is>
          <t>SPM-90-TC08</t>
        </is>
      </c>
      <c r="B139" s="17" t="inlineStr">
        <is>
          <t>SPM-90</t>
        </is>
      </c>
      <c r="C139" s="17" t="inlineStr">
        <is>
          <t>Kayalvizhi</t>
        </is>
      </c>
      <c r="D139" s="17" t="inlineStr">
        <is>
          <t>An event with one approved and one pending venue booking cannot be confirmed, and the refusal names the room that is not yet approved and what it is for</t>
        </is>
      </c>
      <c r="E139" s="17" t="inlineStr">
        <is>
          <t>Negative</t>
        </is>
      </c>
      <c r="F139" s="17" t="inlineStr">
        <is>
          <t>SPM-88</t>
        </is>
      </c>
      <c r="G139" s="17" t="inlineStr">
        <is>
          <t>Values and a precondition only: the AC it checks still holds, but confirmation now also needs an approved safety check.</t>
        </is>
      </c>
      <c r="H139" s="17" t="inlineStr">
        <is>
          <t>Recorded in DECOMMISSIONED.md, 2026-10-19</t>
        </is>
      </c>
      <c r="I139" s="17" t="inlineStr">
        <is>
          <t>No</t>
        </is>
      </c>
      <c r="J139" s="7" t="inlineStr">
        <is>
          <t>Updated</t>
        </is>
      </c>
    </row>
    <row r="140" ht="48" customHeight="1" s="21">
      <c r="A140" s="17" t="inlineStr">
        <is>
          <t>SPM-90-TC09</t>
        </is>
      </c>
      <c r="B140" s="17" t="inlineStr">
        <is>
          <t>SPM-90</t>
        </is>
      </c>
      <c r="C140" s="17" t="inlineStr">
        <is>
          <t>Kayalvizhi</t>
        </is>
      </c>
      <c r="D140" s="17" t="inlineStr">
        <is>
          <t>Once Venue Staff approve the last pending room, an event with two venue bookings can be confirmed</t>
        </is>
      </c>
      <c r="E140" s="17" t="inlineStr">
        <is>
          <t>Positive</t>
        </is>
      </c>
      <c r="F140" s="17" t="inlineStr">
        <is>
          <t>SPM-88</t>
        </is>
      </c>
      <c r="G140" s="17" t="inlineStr">
        <is>
          <t>Values and a precondition only: the AC it checks still holds, but confirmation now also needs an approved safety check.</t>
        </is>
      </c>
      <c r="H140" s="17" t="inlineStr">
        <is>
          <t>Recorded in DECOMMISSIONED.md, 2026-10-19</t>
        </is>
      </c>
      <c r="I140" s="17" t="inlineStr">
        <is>
          <t>Yes - on Janelle's sheet</t>
        </is>
      </c>
      <c r="J140" s="7" t="inlineStr">
        <is>
          <t>Updated</t>
        </is>
      </c>
    </row>
    <row r="141" ht="48" customHeight="1" s="21">
      <c r="A141" s="17" t="inlineStr">
        <is>
          <t>SPM-90-TC10</t>
        </is>
      </c>
      <c r="B141" s="17" t="inlineStr">
        <is>
          <t>SPM-90</t>
        </is>
      </c>
      <c r="C141" s="17" t="inlineStr">
        <is>
          <t>Kayalvizhi</t>
        </is>
      </c>
      <c r="D141" s="17" t="inlineStr">
        <is>
          <t>An event with a single approved venue booking made before this change is listed without a purpose and is confirmed as before</t>
        </is>
      </c>
      <c r="E141" s="17" t="inlineStr">
        <is>
          <t>Positive</t>
        </is>
      </c>
      <c r="F141" s="17" t="inlineStr">
        <is>
          <t>SPM-88</t>
        </is>
      </c>
      <c r="G141" s="17" t="inlineStr">
        <is>
          <t>Values and a precondition only: the AC it checks still holds, but confirmation now also needs an approved safety check.</t>
        </is>
      </c>
      <c r="H141" s="17" t="inlineStr">
        <is>
          <t>Recorded in DECOMMISSIONED.md, 2026-10-19</t>
        </is>
      </c>
      <c r="I141" s="17" t="inlineStr">
        <is>
          <t>Yes - on Janelle's sheet</t>
        </is>
      </c>
      <c r="J141" s="7" t="inlineStr">
        <is>
          <t>Updated</t>
        </is>
      </c>
    </row>
    <row r="142" ht="93" customHeight="1" s="21">
      <c r="A142" s="17" t="inlineStr">
        <is>
          <t>SPM-93-TC07</t>
        </is>
      </c>
      <c r="B142" s="17" t="inlineStr">
        <is>
          <t>SPM-93</t>
        </is>
      </c>
      <c r="C142" s="17" t="inlineStr">
        <is>
          <t>Kayalvizhi</t>
        </is>
      </c>
      <c r="D142" s="17" t="inlineStr">
        <is>
          <t>Venue Staff set setup and turnaround time in 15-minute steps, including zero; other minute values are refused</t>
        </is>
      </c>
      <c r="E142" s="17" t="inlineStr">
        <is>
          <t>Boundary</t>
        </is>
      </c>
      <c r="F142" s="17" t="inlineStr">
        <is>
          <t>SPM-80</t>
        </is>
      </c>
      <c r="G142" s="17" t="inlineStr">
        <is>
          <t>Wording only: the AC it checks still holds, but after a save that flags nothing the venue page now reads 'No bookings were affected, so nobody needed to be notified.' (was 'No approved bookings were affected, …'), because a setup or turnaround change also re-checks pending requests; and the hint under 'Setup time (minutes)' on the edit page now adds 'Changing it re-checks this venue's upcoming bookings.'</t>
        </is>
      </c>
      <c r="H142" s="17" t="inlineStr">
        <is>
          <t>Recorded in DECOMMISSIONED.md, 2026-10-20</t>
        </is>
      </c>
      <c r="I142" s="17" t="inlineStr">
        <is>
          <t>No</t>
        </is>
      </c>
      <c r="J142" s="7" t="inlineStr">
        <is>
          <t>Updated</t>
        </is>
      </c>
    </row>
  </sheetData>
  <autoFilter ref="$A$4:$J$87"/>
  <dataValidations count="1">
    <dataValidation sqref="J5:J142" showDropDown="0" showInputMessage="0" showErrorMessage="0" allowBlank="1" type="list">
      <formula1>"Yes,No"</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H63"/>
  <sheetViews>
    <sheetView workbookViewId="0">
      <pane ySplit="4" topLeftCell="A5" activePane="bottomLeft" state="frozen"/>
      <selection pane="bottomLeft" activeCell="B6" sqref="B6"/>
    </sheetView>
  </sheetViews>
  <sheetFormatPr baseColWidth="8" defaultColWidth="14.43" defaultRowHeight="15" customHeight="1"/>
  <cols>
    <col width="9" customWidth="1" style="21" min="1" max="1"/>
    <col width="32" customWidth="1" style="21" min="2" max="2"/>
    <col width="8" customWidth="1" style="21" min="3" max="3"/>
    <col width="30" customWidth="1" style="21" min="4" max="4"/>
    <col width="10" customWidth="1" style="21" min="5" max="5"/>
    <col width="90" customWidth="1" style="21" min="6" max="6"/>
    <col width="8" customWidth="1" style="21" min="7" max="7"/>
    <col width="12" customWidth="1" style="21" min="8" max="8"/>
    <col width="8.710000000000001" customWidth="1" style="21" min="9" max="26"/>
  </cols>
  <sheetData>
    <row r="1">
      <c r="A1" s="1" t="inlineStr">
        <is>
          <t>Sprint 4 regression: scope</t>
        </is>
      </c>
    </row>
    <row r="2">
      <c r="A2" s="2" t="inlineStr">
        <is>
          <t>Prepared 2026-10-30 against main at 547f66a, after the last Sprint 4 merge (SPM-53). Recheck if anything else merges before the run.</t>
        </is>
      </c>
    </row>
    <row r="4">
      <c r="A4" s="3" t="inlineStr">
        <is>
          <t>Story</t>
        </is>
      </c>
      <c r="B4" s="3" t="inlineStr">
        <is>
          <t>Title</t>
        </is>
      </c>
      <c r="C4" s="3" t="inlineStr">
        <is>
          <t>Sprint</t>
        </is>
      </c>
      <c r="D4" s="3" t="inlineStr">
        <is>
          <t>Changes counted since</t>
        </is>
      </c>
      <c r="E4" s="3" t="inlineStr">
        <is>
          <t>In scope?</t>
        </is>
      </c>
      <c r="F4" s="3" t="inlineStr">
        <is>
          <t>Reason</t>
        </is>
      </c>
      <c r="G4" s="3" t="inlineStr">
        <is>
          <t>Cases</t>
        </is>
      </c>
      <c r="H4" s="3" t="inlineStr">
        <is>
          <t>Tester</t>
        </is>
      </c>
    </row>
    <row r="5" ht="33" customHeight="1" s="21">
      <c r="A5" s="17" t="inlineStr">
        <is>
          <t>SPM-21</t>
        </is>
      </c>
      <c r="B5" s="17" t="inlineStr">
        <is>
          <t>User Login</t>
        </is>
      </c>
      <c r="C5" s="17" t="inlineStr">
        <is>
          <t>1</t>
        </is>
      </c>
      <c r="D5" s="17" t="inlineStr">
        <is>
          <t>End of Sprint 3 (a635cd6)</t>
        </is>
      </c>
      <c r="E5" s="17" t="inlineStr">
        <is>
          <t>Yes</t>
        </is>
      </c>
      <c r="F5" s="17" t="inlineStr">
        <is>
          <t>Changed on main: 
Shared files changed: src/lib/permissions.ts, src/lib/roles.ts</t>
        </is>
      </c>
      <c r="G5" s="17" t="n">
        <v>2</v>
      </c>
      <c r="H5" s="17" t="inlineStr">
        <is>
          <t>Kayalvizhi</t>
        </is>
      </c>
    </row>
    <row r="6" ht="48" customHeight="1" s="21">
      <c r="A6" s="17" t="inlineStr">
        <is>
          <t>SPM-22</t>
        </is>
      </c>
      <c r="B6" s="17" t="inlineStr">
        <is>
          <t>Role-Based Access – UI Verification</t>
        </is>
      </c>
      <c r="C6" s="17" t="inlineStr">
        <is>
          <t>2</t>
        </is>
      </c>
      <c r="D6" s="17" t="inlineStr">
        <is>
          <t>End of Sprint 3 (a635cd6)</t>
        </is>
      </c>
      <c r="E6" s="17" t="inlineStr">
        <is>
          <t>Yes</t>
        </is>
      </c>
      <c r="F6" s="17" t="inlineStr">
        <is>
          <t>Changed on main: src/app/assignments/page.tsx, src/app/events/[id]/page.tsx, src/app/queue/page.tsx
Shared files changed: src/lib/permissions.ts, src/lib/roles.ts</t>
        </is>
      </c>
      <c r="G6" s="17" t="n">
        <v>4</v>
      </c>
      <c r="H6" s="17" t="inlineStr">
        <is>
          <t>Kayalvizhi</t>
        </is>
      </c>
    </row>
    <row r="7" ht="48" customHeight="1" s="21">
      <c r="A7" s="17" t="inlineStr">
        <is>
          <t>SPM-23</t>
        </is>
      </c>
      <c r="B7" s="17" t="inlineStr">
        <is>
          <t>Create Event Request</t>
        </is>
      </c>
      <c r="C7" s="17" t="inlineStr">
        <is>
          <t>1</t>
        </is>
      </c>
      <c r="D7" s="17" t="inlineStr">
        <is>
          <t>End of Sprint 3 (a635cd6)</t>
        </is>
      </c>
      <c r="E7" s="17" t="inlineStr">
        <is>
          <t>Yes</t>
        </is>
      </c>
      <c r="F7" s="17" t="inlineStr">
        <is>
          <t>Changed on main: src/app/api/events/[id]/route.ts, src/app/api/events/route.ts, src/app/events/[id]/edit/page.tsx, src/app/events/page.tsx, src/lib/validation/events.ts
Shared files changed: prisma/schema.prisma, prisma/seed.ts</t>
        </is>
      </c>
      <c r="G7" s="17" t="n">
        <v>7</v>
      </c>
      <c r="H7" s="17" t="inlineStr">
        <is>
          <t>Kayalvizhi</t>
        </is>
      </c>
    </row>
    <row r="8" ht="48" customHeight="1" s="21">
      <c r="A8" s="17" t="inlineStr">
        <is>
          <t>SPM-24</t>
        </is>
      </c>
      <c r="B8" s="17" t="inlineStr">
        <is>
          <t>Save Draft Event Request</t>
        </is>
      </c>
      <c r="C8" s="17" t="inlineStr">
        <is>
          <t>1</t>
        </is>
      </c>
      <c r="D8" s="17" t="inlineStr">
        <is>
          <t>End of Sprint 3 (a635cd6)</t>
        </is>
      </c>
      <c r="E8" s="17" t="inlineStr">
        <is>
          <t>Yes</t>
        </is>
      </c>
      <c r="F8" s="17" t="inlineStr">
        <is>
          <t>Changed on main: src/app/api/events/[id]/route.ts, src/app/api/events/route.ts, src/app/events/[id]/edit/page.tsx, src/app/events/page.tsx
Shared files changed: prisma/seed.ts, src/lib/statuses.ts</t>
        </is>
      </c>
      <c r="G8" s="17" t="n">
        <v>3</v>
      </c>
      <c r="H8" s="17" t="inlineStr">
        <is>
          <t>Kayalvizhi</t>
        </is>
      </c>
    </row>
    <row r="9" ht="48" customHeight="1" s="21">
      <c r="A9" s="17" t="inlineStr">
        <is>
          <t>SPM-25</t>
        </is>
      </c>
      <c r="B9" s="17" t="inlineStr">
        <is>
          <t>Submit Event Request</t>
        </is>
      </c>
      <c r="C9" s="17" t="inlineStr">
        <is>
          <t>1</t>
        </is>
      </c>
      <c r="D9" s="17" t="inlineStr">
        <is>
          <t>End of Sprint 3 (a635cd6)</t>
        </is>
      </c>
      <c r="E9" s="17" t="inlineStr">
        <is>
          <t>Yes</t>
        </is>
      </c>
      <c r="F9" s="17" t="inlineStr">
        <is>
          <t>Changed on main: src/app/api/events/[id]/route.ts, src/app/events/[id]/edit/page.tsx, src/app/events/page.tsx, src/lib/validation/events.ts
Shared files changed: src/lib/permissions.ts, src/lib/roles.ts, src/lib/statuses.ts</t>
        </is>
      </c>
      <c r="G9" s="17" t="n">
        <v>3</v>
      </c>
      <c r="H9" s="17" t="inlineStr">
        <is>
          <t>Kayalvizhi</t>
        </is>
      </c>
    </row>
    <row r="10" ht="48" customHeight="1" s="21">
      <c r="A10" s="17" t="inlineStr">
        <is>
          <t>SPM-26</t>
        </is>
      </c>
      <c r="B10" s="17" t="inlineStr">
        <is>
          <t>Respond to Clarification Request</t>
        </is>
      </c>
      <c r="C10" s="17" t="inlineStr">
        <is>
          <t>4</t>
        </is>
      </c>
      <c r="D10" s="17" t="inlineStr">
        <is>
          <t>Story merged 2026-10-23 (3bc23ba)</t>
        </is>
      </c>
      <c r="E10" s="17" t="inlineStr">
        <is>
          <t>Yes</t>
        </is>
      </c>
      <c r="F10" s="17" t="inlineStr">
        <is>
          <t>Changed by later Sprint 4 merges: src/app/api/events/[id]/route.ts, src/app/events/[id]/page.tsx, src/lib/validation/events.ts
Shared files changed: prisma/seed.ts, src/lib/permissions.ts</t>
        </is>
      </c>
      <c r="G10" s="17" t="n">
        <v>2</v>
      </c>
      <c r="H10" s="17" t="inlineStr">
        <is>
          <t>Kayalvizhi</t>
        </is>
      </c>
    </row>
    <row r="11" ht="63" customHeight="1" s="21">
      <c r="A11" s="17" t="inlineStr">
        <is>
          <t>SPM-27</t>
        </is>
      </c>
      <c r="B11" s="17" t="inlineStr">
        <is>
          <t>View Event Status</t>
        </is>
      </c>
      <c r="C11" s="17" t="inlineStr">
        <is>
          <t>2</t>
        </is>
      </c>
      <c r="D11" s="17" t="inlineStr">
        <is>
          <t>End of Sprint 3 (a635cd6)</t>
        </is>
      </c>
      <c r="E11" s="17" t="inlineStr">
        <is>
          <t>Yes</t>
        </is>
      </c>
      <c r="F11" s="17" t="inlineStr">
        <is>
          <t>Changed on main: src/app/api/assignments/route.ts, src/app/api/events/[id]/coordinator/route.ts, src/app/api/events/[id]/route.ts, src/app/events/[id]/equipment/page.tsx, src/app/events/[id]/page.tsx, src/app/events/page.tsx and 2 more
Shared files changed: prisma/seed.ts, src/lib/permissions.ts, src/lib/statuses.ts</t>
        </is>
      </c>
      <c r="G11" s="17" t="n">
        <v>2</v>
      </c>
      <c r="H11" s="17" t="inlineStr">
        <is>
          <t>Kayalvizhi</t>
        </is>
      </c>
    </row>
    <row r="12" ht="63" customHeight="1" s="21">
      <c r="A12" s="17" t="inlineStr">
        <is>
          <t>SPM-28</t>
        </is>
      </c>
      <c r="B12" s="17" t="inlineStr">
        <is>
          <t>Review Event Request</t>
        </is>
      </c>
      <c r="C12" s="17" t="inlineStr">
        <is>
          <t>2</t>
        </is>
      </c>
      <c r="D12" s="17" t="inlineStr">
        <is>
          <t>End of Sprint 3 (a635cd6)</t>
        </is>
      </c>
      <c r="E12" s="17" t="inlineStr">
        <is>
          <t>Yes</t>
        </is>
      </c>
      <c r="F12" s="17" t="inlineStr">
        <is>
          <t>Changed on main: src/app/api/events/[id]/route.ts, src/app/events/[id]/page.tsx, src/app/events/[id]/review/page.tsx, src/app/queue/page.tsx
Shared files changed: prisma/schema.prisma, prisma/seed.ts, src/lib/permissions.ts, src/lib/statuses.ts</t>
        </is>
      </c>
      <c r="G12" s="17" t="n">
        <v>5</v>
      </c>
      <c r="H12" s="17" t="inlineStr">
        <is>
          <t>Jordan</t>
        </is>
      </c>
    </row>
    <row r="13" ht="48" customHeight="1" s="21">
      <c r="A13" s="17" t="inlineStr">
        <is>
          <t>SPM-29</t>
        </is>
      </c>
      <c r="B13" s="17" t="inlineStr">
        <is>
          <t>Request Event Clarification</t>
        </is>
      </c>
      <c r="C13" s="17" t="inlineStr">
        <is>
          <t>4</t>
        </is>
      </c>
      <c r="D13" s="17" t="inlineStr">
        <is>
          <t>Story merged 2026-10-21 (cc9c402)</t>
        </is>
      </c>
      <c r="E13" s="17" t="inlineStr">
        <is>
          <t>Yes</t>
        </is>
      </c>
      <c r="F13" s="17" t="inlineStr">
        <is>
          <t>Changed by later Sprint 4 merges: src/app/api/events/[id]/clarifications/route.ts, src/app/api/events/[id]/route.ts, src/app/events/[id]/page.tsx, src/lib/clarification.ts
Shared files changed: prisma/schema.prisma, prisma/seed.ts, src/lib/permissions.ts</t>
        </is>
      </c>
      <c r="G13" s="17" t="n">
        <v>1</v>
      </c>
      <c r="H13" s="17" t="inlineStr">
        <is>
          <t>Kayalvizhi</t>
        </is>
      </c>
    </row>
    <row r="14" ht="63" customHeight="1" s="21">
      <c r="A14" s="17" t="inlineStr">
        <is>
          <t>SPM-30</t>
        </is>
      </c>
      <c r="B14" s="17" t="inlineStr">
        <is>
          <t>Assign Event Coordinator</t>
        </is>
      </c>
      <c r="C14" s="17" t="inlineStr">
        <is>
          <t>2</t>
        </is>
      </c>
      <c r="D14" s="17" t="inlineStr">
        <is>
          <t>End of Sprint 3 (a635cd6)</t>
        </is>
      </c>
      <c r="E14" s="17" t="inlineStr">
        <is>
          <t>Yes</t>
        </is>
      </c>
      <c r="F14" s="17" t="inlineStr">
        <is>
          <t>Changed on main: src/app/api/events/[id]/route.ts, src/app/assignments/page.tsx, src/app/events/[id]/page.tsx, src/app/events/page.tsx
Shared files changed: prisma/schema.prisma, prisma/seed.ts, src/lib/permissions.ts, src/lib/roles.ts</t>
        </is>
      </c>
      <c r="G14" s="17" t="n">
        <v>4</v>
      </c>
      <c r="H14" s="17" t="inlineStr">
        <is>
          <t>Jordan</t>
        </is>
      </c>
    </row>
    <row r="15" ht="78" customHeight="1" s="21">
      <c r="A15" s="17" t="inlineStr">
        <is>
          <t>SPM-31</t>
        </is>
      </c>
      <c r="B15" s="17" t="inlineStr">
        <is>
          <t>View Event Information</t>
        </is>
      </c>
      <c r="C15" s="17" t="inlineStr">
        <is>
          <t>2</t>
        </is>
      </c>
      <c r="D15" s="17" t="inlineStr">
        <is>
          <t>End of Sprint 3 (a635cd6)</t>
        </is>
      </c>
      <c r="E15" s="17" t="inlineStr">
        <is>
          <t>Yes</t>
        </is>
      </c>
      <c r="F15" s="17" t="inlineStr">
        <is>
          <t>Changed on main: src/app/api/events/[id]/equipment/[requestId]/route.ts, src/app/api/events/[id]/equipment/route.ts, src/app/api/events/[id]/route.ts, src/app/events/[id]/page.tsx, src/lib/format.ts
Shared files changed: prisma/schema.prisma, prisma/seed.ts, src/lib/permissions.ts, src/lib/roles.ts, src/lib/statuses.ts</t>
        </is>
      </c>
      <c r="G15" s="17" t="n">
        <v>1</v>
      </c>
      <c r="H15" s="17" t="inlineStr">
        <is>
          <t>Kayalvizhi</t>
        </is>
      </c>
    </row>
    <row r="16" ht="93" customHeight="1" s="21">
      <c r="A16" s="17" t="inlineStr">
        <is>
          <t>SPM-32</t>
        </is>
      </c>
      <c r="B16" s="17" t="inlineStr">
        <is>
          <t>Process Event Change Request</t>
        </is>
      </c>
      <c r="C16" s="17" t="inlineStr">
        <is>
          <t>4</t>
        </is>
      </c>
      <c r="D16" s="17" t="inlineStr">
        <is>
          <t>Story merged 2026-10-27 (bd0cd4c)</t>
        </is>
      </c>
      <c r="E16" s="17" t="inlineStr">
        <is>
          <t>Yes</t>
        </is>
      </c>
      <c r="F16" s="17" t="inlineStr">
        <is>
          <t>Changed by later Sprint 4 merges: src/app/api/events/[id]/change-requests/[requestId]/decision/route.ts, src/app/api/events/[id]/change-requests/route.ts, src/app/api/events/[id]/route.ts, src/app/events/[id]/change-requests/[requestId]/page.tsx, src/app/events/[id]/page.tsx, src/lib/changeRequestDecision.ts and 1 more
Shared files changed: prisma/schema.prisma, prisma/seed.ts, src/lib/permissions.ts, src/lib/statuses.ts</t>
        </is>
      </c>
      <c r="G16" s="17" t="n">
        <v>5</v>
      </c>
      <c r="H16" s="17" t="inlineStr">
        <is>
          <t>Kristen</t>
        </is>
      </c>
    </row>
    <row r="17" ht="78" customHeight="1" s="21">
      <c r="A17" s="17" t="inlineStr">
        <is>
          <t>SPM-33</t>
        </is>
      </c>
      <c r="B17" s="17" t="inlineStr">
        <is>
          <t>Track Outstanding Arrangements</t>
        </is>
      </c>
      <c r="C17" s="17" t="inlineStr">
        <is>
          <t>3</t>
        </is>
      </c>
      <c r="D17" s="17" t="inlineStr">
        <is>
          <t>End of Sprint 3 (a635cd6)</t>
        </is>
      </c>
      <c r="E17" s="17" t="inlineStr">
        <is>
          <t>Yes</t>
        </is>
      </c>
      <c r="F17" s="17" t="inlineStr">
        <is>
          <t>Changed on main: src/app/api/events/[id]/arrangements/route.ts, src/app/api/events/[id]/route.ts, src/app/api/events/[id]/safety-check/route.ts, src/app/events/[id]/readiness/page.tsx, src/lib/eventArrangements.ts, src/lib/eventConfirmation.ts and 2 more
Shared files changed: prisma/schema.prisma, prisma/seed.ts, src/lib/permissions.ts, src/lib/statuses.ts</t>
        </is>
      </c>
      <c r="G17" s="17" t="n">
        <v>5</v>
      </c>
      <c r="H17" s="17" t="inlineStr">
        <is>
          <t>Jordan</t>
        </is>
      </c>
    </row>
    <row r="18" ht="48" customHeight="1" s="21">
      <c r="A18" s="17" t="inlineStr">
        <is>
          <t>SPM-34</t>
        </is>
      </c>
      <c r="B18" s="17" t="inlineStr">
        <is>
          <t>Confirm Event</t>
        </is>
      </c>
      <c r="C18" s="17" t="inlineStr">
        <is>
          <t>2</t>
        </is>
      </c>
      <c r="D18" s="17" t="inlineStr">
        <is>
          <t>End of Sprint 3 (a635cd6)</t>
        </is>
      </c>
      <c r="E18" s="17" t="inlineStr">
        <is>
          <t>Yes</t>
        </is>
      </c>
      <c r="F18" s="17" t="inlineStr">
        <is>
          <t>Changed on main: src/app/api/events/[id]/route.ts, src/app/events/[id]/page.tsx, src/lib/eventConfirmation.ts
Shared files changed: prisma/seed.ts, src/lib/permissions.ts, src/lib/statuses.ts</t>
        </is>
      </c>
      <c r="G18" s="17" t="n">
        <v>4</v>
      </c>
      <c r="H18" s="17" t="inlineStr">
        <is>
          <t>Jordan</t>
        </is>
      </c>
    </row>
    <row r="19" ht="63" customHeight="1" s="21">
      <c r="A19" s="17" t="inlineStr">
        <is>
          <t>SPM-35</t>
        </is>
      </c>
      <c r="B19" s="17" t="inlineStr">
        <is>
          <t>Request Event Change</t>
        </is>
      </c>
      <c r="C19" s="17" t="inlineStr">
        <is>
          <t>4</t>
        </is>
      </c>
      <c r="D19" s="17" t="inlineStr">
        <is>
          <t>Story merged 2026-10-21 (98e0642)</t>
        </is>
      </c>
      <c r="E19" s="17" t="inlineStr">
        <is>
          <t>Yes</t>
        </is>
      </c>
      <c r="F19" s="17" t="inlineStr">
        <is>
          <t>Changed by later Sprint 4 merges: src/app/api/events/[id]/change-requests/route.ts, src/app/api/events/[id]/route.ts, src/app/change-requests/page.tsx, src/app/events/[id]/ChangeRequestsCard.tsx, src/app/events/[id]/page.tsx, src/components/ChangeRequestList.tsx and 2 more
Shared files changed: prisma/schema.prisma, prisma/seed.ts, src/lib/permissions.ts</t>
        </is>
      </c>
      <c r="G19" s="17" t="n">
        <v>3</v>
      </c>
      <c r="H19" s="17" t="inlineStr">
        <is>
          <t>Kristen</t>
        </is>
      </c>
    </row>
    <row r="20" ht="48" customHeight="1" s="21">
      <c r="A20" s="17" t="inlineStr">
        <is>
          <t>SPM-36</t>
        </is>
      </c>
      <c r="B20" s="17" t="inlineStr">
        <is>
          <t>Mark Event as Completed</t>
        </is>
      </c>
      <c r="C20" s="17" t="inlineStr">
        <is>
          <t>4</t>
        </is>
      </c>
      <c r="D20" s="17" t="inlineStr">
        <is>
          <t>Story merged 2026-10-23 (6b0aea7)</t>
        </is>
      </c>
      <c r="E20" s="17" t="inlineStr">
        <is>
          <t>Yes</t>
        </is>
      </c>
      <c r="F20" s="17" t="inlineStr">
        <is>
          <t>Changed by later Sprint 4 merges: src/app/api/events/[id]/route.ts, src/app/api/notifications/unread-count/route.ts, src/app/events/[id]/page.tsx, src/lib/eventCompletionService.ts
Shared files changed: prisma/seed.ts, src/lib/permissions.ts</t>
        </is>
      </c>
      <c r="G20" s="17" t="n">
        <v>3</v>
      </c>
      <c r="H20" s="17" t="inlineStr">
        <is>
          <t>Jordan</t>
        </is>
      </c>
    </row>
    <row r="21" ht="63" customHeight="1" s="21">
      <c r="A21" s="17" t="inlineStr">
        <is>
          <t>SPM-37</t>
        </is>
      </c>
      <c r="B21" s="17" t="inlineStr">
        <is>
          <t>Cancel Event</t>
        </is>
      </c>
      <c r="C21" s="17" t="inlineStr">
        <is>
          <t>4</t>
        </is>
      </c>
      <c r="D21" s="17" t="inlineStr">
        <is>
          <t>Story merged 2026-10-23 (2cc0fc4)</t>
        </is>
      </c>
      <c r="E21" s="17" t="inlineStr">
        <is>
          <t>Yes</t>
        </is>
      </c>
      <c r="F21" s="17" t="inlineStr">
        <is>
          <t>Changed by later Sprint 4 merges: src/app/api/events/[id]/cancellation/route.ts, src/app/api/events/[id]/route.ts, src/app/events/[id]/page.tsx, src/lib/equipmentAvailability.ts, src/lib/eventCancellation.ts
Shared files changed: prisma/seed.ts, src/lib/permissions.ts, src/lib/statuses.ts</t>
        </is>
      </c>
      <c r="G21" s="17" t="n">
        <v>4</v>
      </c>
      <c r="H21" s="17" t="inlineStr">
        <is>
          <t>Jordan</t>
        </is>
      </c>
    </row>
    <row r="22" ht="78" customHeight="1" s="21">
      <c r="A22" s="17" t="inlineStr">
        <is>
          <t>SPM-38</t>
        </is>
      </c>
      <c r="B22" s="17" t="inlineStr">
        <is>
          <t>Postpone Event</t>
        </is>
      </c>
      <c r="C22" s="17" t="inlineStr">
        <is>
          <t>4</t>
        </is>
      </c>
      <c r="D22" s="17" t="inlineStr">
        <is>
          <t>Story merged 2026-10-28 (09798b9)</t>
        </is>
      </c>
      <c r="E22" s="17" t="inlineStr">
        <is>
          <t>Yes</t>
        </is>
      </c>
      <c r="F22" s="17" t="inlineStr">
        <is>
          <t>Changed by later Sprint 4 merges: src/app/api/events/[id]/change-requests/[requestId]/decision/route.ts, src/app/api/events/[id]/equipment/[requestId]/route.ts, src/app/api/events/[id]/equipment/route.ts, src/app/api/events/[id]/route.ts, src/app/api/events/[id]/venue-bookings/route.ts, src/app/events/[id]/equipment/page.tsx and 2 more
Shared files changed: prisma/seed.ts, src/lib/permissions.ts</t>
        </is>
      </c>
      <c r="G22" s="17" t="n">
        <v>5</v>
      </c>
      <c r="H22" s="17" t="inlineStr">
        <is>
          <t>Jordan</t>
        </is>
      </c>
    </row>
    <row r="23" ht="48" customHeight="1" s="21">
      <c r="A23" s="17" t="inlineStr">
        <is>
          <t>SPM-39</t>
        </is>
      </c>
      <c r="B23" s="17" t="inlineStr">
        <is>
          <t>Manage Venue Catalogue</t>
        </is>
      </c>
      <c r="C23" s="17" t="inlineStr">
        <is>
          <t>1</t>
        </is>
      </c>
      <c r="D23" s="17" t="inlineStr">
        <is>
          <t>End of Sprint 3 (a635cd6)</t>
        </is>
      </c>
      <c r="E23" s="17" t="inlineStr">
        <is>
          <t>Yes</t>
        </is>
      </c>
      <c r="F23" s="17" t="inlineStr">
        <is>
          <t>Changed on main: src/app/api/venues/[id]/route.ts, src/app/venues/[id]/edit/page.tsx, src/components/VenueForm.tsx, src/lib/notifications.ts, src/lib/venueImpact.ts
Shared files changed: prisma/schema.prisma, src/lib/permissions.ts</t>
        </is>
      </c>
      <c r="G23" s="17" t="n">
        <v>7</v>
      </c>
      <c r="H23" s="17" t="inlineStr">
        <is>
          <t>Janelle</t>
        </is>
      </c>
    </row>
    <row r="24" ht="33" customHeight="1" s="21">
      <c r="A24" s="17" t="inlineStr">
        <is>
          <t>SPM-40</t>
        </is>
      </c>
      <c r="B24" s="17" t="inlineStr">
        <is>
          <t>Search and Filter Suitable Venues</t>
        </is>
      </c>
      <c r="C24" s="17" t="inlineStr">
        <is>
          <t>2</t>
        </is>
      </c>
      <c r="D24" s="17" t="inlineStr">
        <is>
          <t>End of Sprint 3 (a635cd6)</t>
        </is>
      </c>
      <c r="E24" s="17" t="inlineStr">
        <is>
          <t>Yes</t>
        </is>
      </c>
      <c r="F24" s="17" t="inlineStr">
        <is>
          <t>Changed on main: src/app/api/events/[id]/route.ts, src/app/api/venues/search/route.ts
Shared files changed: prisma/schema.prisma, prisma/seed.ts, src/lib/permissions.ts</t>
        </is>
      </c>
      <c r="G24" s="17" t="n">
        <v>1</v>
      </c>
      <c r="H24" s="17" t="inlineStr">
        <is>
          <t>Janelle</t>
        </is>
      </c>
    </row>
    <row r="25" ht="33" customHeight="1" s="21">
      <c r="A25" s="17" t="inlineStr">
        <is>
          <t>SPM-41</t>
        </is>
      </c>
      <c r="B25" s="17" t="inlineStr">
        <is>
          <t>Check Venue Suitability</t>
        </is>
      </c>
      <c r="C25" s="17" t="inlineStr">
        <is>
          <t>2</t>
        </is>
      </c>
      <c r="D25" s="17" t="inlineStr">
        <is>
          <t>End of Sprint 3 (a635cd6)</t>
        </is>
      </c>
      <c r="E25" s="17" t="inlineStr">
        <is>
          <t>Yes</t>
        </is>
      </c>
      <c r="F25" s="17" t="inlineStr">
        <is>
          <t>Changed on main: src/components/VenueForm.tsx, src/lib/venueImpact.ts
Shared files changed: prisma/schema.prisma, prisma/seed.ts</t>
        </is>
      </c>
      <c r="G25" s="17" t="n">
        <v>3</v>
      </c>
      <c r="H25" s="17" t="inlineStr">
        <is>
          <t>Janelle</t>
        </is>
      </c>
    </row>
    <row r="26" ht="33" customHeight="1" s="21">
      <c r="A26" s="17" t="inlineStr">
        <is>
          <t>SPM-42</t>
        </is>
      </c>
      <c r="B26" s="17" t="inlineStr">
        <is>
          <t>Request Venue Booking</t>
        </is>
      </c>
      <c r="C26" s="17" t="inlineStr">
        <is>
          <t>2</t>
        </is>
      </c>
      <c r="D26" s="17" t="inlineStr">
        <is>
          <t>End of Sprint 3 (a635cd6)</t>
        </is>
      </c>
      <c r="E26" s="17" t="inlineStr">
        <is>
          <t>Yes</t>
        </is>
      </c>
      <c r="F26" s="17" t="inlineStr">
        <is>
          <t>Changed on main: src/lib/venueBookingRequest.ts
Shared files changed: prisma/schema.prisma, prisma/seed.ts, src/lib/permissions.ts</t>
        </is>
      </c>
      <c r="G26" s="17" t="n">
        <v>3</v>
      </c>
      <c r="H26" s="17" t="inlineStr">
        <is>
          <t>Sammi</t>
        </is>
      </c>
    </row>
    <row r="27" ht="78" customHeight="1" s="21">
      <c r="A27" s="17" t="inlineStr">
        <is>
          <t>SPM-43</t>
        </is>
      </c>
      <c r="B27" s="17" t="inlineStr">
        <is>
          <t>Review Venue Booking Request</t>
        </is>
      </c>
      <c r="C27" s="17" t="inlineStr">
        <is>
          <t>2</t>
        </is>
      </c>
      <c r="D27" s="17" t="inlineStr">
        <is>
          <t>End of Sprint 3 (a635cd6)</t>
        </is>
      </c>
      <c r="E27" s="17" t="inlineStr">
        <is>
          <t>Yes</t>
        </is>
      </c>
      <c r="F27" s="17" t="inlineStr">
        <is>
          <t>Changed on main: src/app/api/events/[id]/venue-bookings/route.ts, src/app/api/venue-bookings/[id]/route.ts, src/app/events/[id]/booking/new/page.tsx, src/lib/venueBookingRequest.ts, src/lib/venueBookingReview.ts
Shared files changed: prisma/schema.prisma, prisma/seed.ts, src/lib/permissions.ts, src/lib/roles.ts</t>
        </is>
      </c>
      <c r="G27" s="17" t="n">
        <v>4</v>
      </c>
      <c r="H27" s="17" t="inlineStr">
        <is>
          <t>Sammi</t>
        </is>
      </c>
    </row>
    <row r="28" ht="48" customHeight="1" s="21">
      <c r="A28" s="17" t="inlineStr">
        <is>
          <t>SPM-44</t>
        </is>
      </c>
      <c r="B28" s="17" t="inlineStr">
        <is>
          <t>Detect Venue Booking Conflicts</t>
        </is>
      </c>
      <c r="C28" s="17" t="inlineStr">
        <is>
          <t>2 &gt; 3</t>
        </is>
      </c>
      <c r="D28" s="17" t="inlineStr">
        <is>
          <t>End of Sprint 3 (a635cd6)</t>
        </is>
      </c>
      <c r="E28" s="17" t="inlineStr">
        <is>
          <t>Yes</t>
        </is>
      </c>
      <c r="F28" s="17" t="inlineStr">
        <is>
          <t>Changed on main: src/app/api/events/[id]/venue-bookings/route.ts, src/app/events/[id]/booking/new/page.tsx, src/lib/venueBookingRequest.ts
Shared files changed: prisma/seed.ts</t>
        </is>
      </c>
      <c r="G28" s="17" t="n">
        <v>1</v>
      </c>
      <c r="H28" s="17" t="inlineStr">
        <is>
          <t>Sammi</t>
        </is>
      </c>
    </row>
    <row r="29" ht="48" customHeight="1" s="21">
      <c r="A29" s="17" t="inlineStr">
        <is>
          <t>SPM-45</t>
        </is>
      </c>
      <c r="B29" s="17" t="inlineStr">
        <is>
          <t>Record Venue Unavailability</t>
        </is>
      </c>
      <c r="C29" s="17" t="inlineStr">
        <is>
          <t>3</t>
        </is>
      </c>
      <c r="D29" s="17" t="inlineStr">
        <is>
          <t>End of Sprint 3 (a635cd6)</t>
        </is>
      </c>
      <c r="E29" s="17" t="inlineStr">
        <is>
          <t>Yes</t>
        </is>
      </c>
      <c r="F29" s="17" t="inlineStr">
        <is>
          <t>Changed on main: src/app/venues/[id]/edit/page.tsx, src/lib/venueImpact.ts, src/lib/venueUnavailability.ts, src/lib/venueUnavailabilityService.ts
Shared files changed: prisma/schema.prisma, prisma/seed.ts, src/lib/roles.ts</t>
        </is>
      </c>
      <c r="G29" s="17" t="n">
        <v>3</v>
      </c>
      <c r="H29" s="17" t="inlineStr">
        <is>
          <t>Janelle</t>
        </is>
      </c>
    </row>
    <row r="30" ht="33" customHeight="1" s="21">
      <c r="A30" s="17" t="inlineStr">
        <is>
          <t>SPM-46</t>
        </is>
      </c>
      <c r="B30" s="17" t="inlineStr">
        <is>
          <t>View Venue Availability</t>
        </is>
      </c>
      <c r="C30" s="17" t="inlineStr">
        <is>
          <t>2</t>
        </is>
      </c>
      <c r="D30" s="17" t="inlineStr">
        <is>
          <t>End of Sprint 3 (a635cd6)</t>
        </is>
      </c>
      <c r="E30" s="17" t="inlineStr">
        <is>
          <t>Yes</t>
        </is>
      </c>
      <c r="F30" s="17" t="inlineStr">
        <is>
          <t>Changed on main: src/app/venues/[id]/edit/page.tsx, src/lib/format.ts
Shared files changed: src/lib/permissions.ts</t>
        </is>
      </c>
      <c r="G30" s="17" t="n">
        <v>4</v>
      </c>
      <c r="H30" s="17" t="inlineStr">
        <is>
          <t>Janelle</t>
        </is>
      </c>
    </row>
    <row r="31" ht="63" customHeight="1" s="21">
      <c r="A31" s="17" t="inlineStr">
        <is>
          <t>SPM-47</t>
        </is>
      </c>
      <c r="B31" s="17" t="inlineStr">
        <is>
          <t>Record Equipment Requirements</t>
        </is>
      </c>
      <c r="C31" s="17" t="inlineStr">
        <is>
          <t>1</t>
        </is>
      </c>
      <c r="D31" s="17" t="inlineStr">
        <is>
          <t>End of Sprint 3 (a635cd6)</t>
        </is>
      </c>
      <c r="E31" s="17" t="inlineStr">
        <is>
          <t>Yes</t>
        </is>
      </c>
      <c r="F31" s="17" t="inlineStr">
        <is>
          <t>Changed on main: src/app/api/events/[id]/equipment/[requestId]/route.ts, src/app/api/events/[id]/equipment/route.ts, src/app/api/events/[id]/route.ts, src/app/events/[id]/equipment/page.tsx, src/app/events/[id]/page.tsx, src/lib/equipment.ts and 1 more
Shared files changed: prisma/schema.prisma, src/lib/permissions.ts, src/lib/roles.ts</t>
        </is>
      </c>
      <c r="G31" s="17" t="n">
        <v>3</v>
      </c>
      <c r="H31" s="17" t="inlineStr">
        <is>
          <t>Kristen</t>
        </is>
      </c>
    </row>
    <row r="32" ht="48" customHeight="1" s="21">
      <c r="A32" s="17" t="inlineStr">
        <is>
          <t>SPM-48</t>
        </is>
      </c>
      <c r="B32" s="17" t="inlineStr">
        <is>
          <t>Check Equipment Availability</t>
        </is>
      </c>
      <c r="C32" s="17" t="inlineStr">
        <is>
          <t>2</t>
        </is>
      </c>
      <c r="D32" s="17" t="inlineStr">
        <is>
          <t>End of Sprint 3 (a635cd6)</t>
        </is>
      </c>
      <c r="E32" s="17" t="inlineStr">
        <is>
          <t>Yes</t>
        </is>
      </c>
      <c r="F32" s="17" t="inlineStr">
        <is>
          <t>Changed on main: src/app/api/equipment/route.ts, src/app/events/[id]/equipment/page.tsx, src/lib/equipment.ts, src/lib/validation/equipment.ts
Shared files changed: prisma/schema.prisma</t>
        </is>
      </c>
      <c r="G32" s="17" t="n">
        <v>5</v>
      </c>
      <c r="H32" s="17" t="inlineStr">
        <is>
          <t>Kristen</t>
        </is>
      </c>
    </row>
    <row r="33" ht="18" customHeight="1" s="21">
      <c r="A33" s="17" t="inlineStr">
        <is>
          <t>SPM-49</t>
        </is>
      </c>
      <c r="B33" s="17" t="inlineStr">
        <is>
          <t>Reserve Equipment</t>
        </is>
      </c>
      <c r="C33" s="17" t="inlineStr">
        <is>
          <t>2</t>
        </is>
      </c>
      <c r="D33" s="17" t="inlineStr">
        <is>
          <t>End of Sprint 3 (a635cd6)</t>
        </is>
      </c>
      <c r="E33" s="17" t="inlineStr">
        <is>
          <t>Yes</t>
        </is>
      </c>
      <c r="F33" s="17" t="inlineStr">
        <is>
          <t>Changed on main: src/app/events/[id]/equipment/page.tsx</t>
        </is>
      </c>
      <c r="G33" s="17" t="n">
        <v>4</v>
      </c>
      <c r="H33" s="17" t="inlineStr">
        <is>
          <t>Kristen</t>
        </is>
      </c>
    </row>
    <row r="34" ht="93" customHeight="1" s="21">
      <c r="A34" s="17" t="inlineStr">
        <is>
          <t>SPM-50</t>
        </is>
      </c>
      <c r="B34" s="17" t="inlineStr">
        <is>
          <t>Review and Update Equipment Request</t>
        </is>
      </c>
      <c r="C34" s="17" t="inlineStr">
        <is>
          <t>2</t>
        </is>
      </c>
      <c r="D34" s="17" t="inlineStr">
        <is>
          <t>End of Sprint 3 (a635cd6)</t>
        </is>
      </c>
      <c r="E34" s="17" t="inlineStr">
        <is>
          <t>Yes</t>
        </is>
      </c>
      <c r="F34" s="17" t="inlineStr">
        <is>
          <t>Changed on main: src/app/api/events/[id]/equipment/[requestId]/fulfilment/route.ts, src/app/api/events/[id]/equipment/[requestId]/reserve/route.ts, src/app/api/events/[id]/equipment/[requestId]/route.ts, src/app/api/events/[id]/equipment/route.ts, src/app/equipment/requests/[id]/page.tsx, src/app/events/[id]/equipment/page.tsx and 5 more
Shared files changed: prisma/schema.prisma, prisma/seed.ts, src/lib/permissions.ts, src/lib/roles.ts, src/lib/statuses.ts</t>
        </is>
      </c>
      <c r="G34" s="17" t="n">
        <v>3</v>
      </c>
      <c r="H34" s="17" t="inlineStr">
        <is>
          <t>Kristen</t>
        </is>
      </c>
    </row>
    <row r="35" ht="63" customHeight="1" s="21">
      <c r="A35" s="17" t="inlineStr">
        <is>
          <t>SPM-51</t>
        </is>
      </c>
      <c r="B35" s="17" t="inlineStr">
        <is>
          <t>Register for Event</t>
        </is>
      </c>
      <c r="C35" s="17" t="inlineStr">
        <is>
          <t>3</t>
        </is>
      </c>
      <c r="D35" s="17" t="inlineStr">
        <is>
          <t>End of Sprint 3 (a635cd6)</t>
        </is>
      </c>
      <c r="E35" s="17" t="inlineStr">
        <is>
          <t>Yes</t>
        </is>
      </c>
      <c r="F35" s="17" t="inlineStr">
        <is>
          <t>Changed on main: src/app/api/events/[id]/route.ts, src/app/api/events/route.ts, src/app/api/registrations/route.ts, src/app/browse/page.tsx, src/app/events/[id]/RegisterPanel.tsx, src/app/events/[id]/page.tsx and 2 more
Shared files changed: src/lib/permissions.ts, src/lib/statuses.ts</t>
        </is>
      </c>
      <c r="G35" s="17" t="n">
        <v>3</v>
      </c>
      <c r="H35" s="17" t="inlineStr">
        <is>
          <t>Janelle</t>
        </is>
      </c>
    </row>
    <row r="36" ht="63" customHeight="1" s="21">
      <c r="A36" s="17" t="inlineStr">
        <is>
          <t>SPM-52</t>
        </is>
      </c>
      <c r="B36" s="17" t="inlineStr">
        <is>
          <t>Withdraw Registration</t>
        </is>
      </c>
      <c r="C36" s="17" t="inlineStr">
        <is>
          <t>3</t>
        </is>
      </c>
      <c r="D36" s="17" t="inlineStr">
        <is>
          <t>End of Sprint 3 (a635cd6)</t>
        </is>
      </c>
      <c r="E36" s="17" t="inlineStr">
        <is>
          <t>Yes</t>
        </is>
      </c>
      <c r="F36" s="17" t="inlineStr">
        <is>
          <t>Changed on main: src/app/api/events/[id]/route.ts, src/app/api/registrations/[id]/route.ts, src/app/events/[id]/RegisterPanel.tsx, src/app/events/[id]/page.tsx, src/app/registrations/page.tsx, src/lib/registrationEligibility.ts and 1 more
Shared files changed: src/lib/permissions.ts, src/lib/roles.ts, src/lib/statuses.ts</t>
        </is>
      </c>
      <c r="G36" s="17" t="n">
        <v>5</v>
      </c>
      <c r="H36" s="17" t="inlineStr">
        <is>
          <t>Janelle</t>
        </is>
      </c>
    </row>
    <row r="37" ht="33" customHeight="1" s="21">
      <c r="A37" s="17" t="inlineStr">
        <is>
          <t>SPM-53</t>
        </is>
      </c>
      <c r="B37" s="17" t="inlineStr">
        <is>
          <t>Receive Event Notifications</t>
        </is>
      </c>
      <c r="C37" s="17" t="inlineStr">
        <is>
          <t>4</t>
        </is>
      </c>
      <c r="D37" s="17" t="inlineStr">
        <is>
          <t>Story merged 2026-10-30 (547f66a)</t>
        </is>
      </c>
      <c r="E37" s="17" t="inlineStr">
        <is>
          <t>No</t>
        </is>
      </c>
      <c r="F37" s="17" t="inlineStr">
        <is>
          <t>The last merge of the sprint, so nothing has changed since its own test pass. Its notifications are checked throughout the smoke run.</t>
        </is>
      </c>
      <c r="G37" s="17" t="n">
        <v>0</v>
      </c>
      <c r="H37" s="17" t="n"/>
    </row>
    <row r="38" ht="93" customHeight="1" s="21">
      <c r="A38" s="17" t="inlineStr">
        <is>
          <t>SPM-54</t>
        </is>
      </c>
      <c r="B38" s="17" t="inlineStr">
        <is>
          <t>Begin Event Planning</t>
        </is>
      </c>
      <c r="C38" s="17" t="inlineStr">
        <is>
          <t>2</t>
        </is>
      </c>
      <c r="D38" s="17" t="inlineStr">
        <is>
          <t>End of Sprint 3 (a635cd6)</t>
        </is>
      </c>
      <c r="E38" s="17" t="inlineStr">
        <is>
          <t>Yes</t>
        </is>
      </c>
      <c r="F38" s="17" t="inlineStr">
        <is>
          <t>Changed on main: src/app/api/events/[id]/begin-planning/route.ts, src/app/api/events/[id]/equipment/[requestId]/route.ts, src/app/api/events/[id]/equipment/route.ts, src/app/api/events/[id]/route.ts, src/app/api/events/[id]/venue-bookings/route.ts, src/app/api/venues/search/route.ts and 6 more
Shared files changed: prisma/seed.ts, src/lib/permissions.ts, src/lib/roles.ts, src/lib/statuses.ts</t>
        </is>
      </c>
      <c r="G38" s="17" t="n">
        <v>3</v>
      </c>
      <c r="H38" s="17" t="inlineStr">
        <is>
          <t>Jordan</t>
        </is>
      </c>
    </row>
    <row r="39" ht="48" customHeight="1" s="21">
      <c r="A39" s="17" t="inlineStr">
        <is>
          <t>SPM-55</t>
        </is>
      </c>
      <c r="B39" s="17" t="inlineStr">
        <is>
          <t>Record Equipment Unavailability</t>
        </is>
      </c>
      <c r="C39" s="17" t="inlineStr">
        <is>
          <t>3</t>
        </is>
      </c>
      <c r="D39" s="17" t="inlineStr">
        <is>
          <t>End of Sprint 3 (a635cd6)</t>
        </is>
      </c>
      <c r="E39" s="17" t="inlineStr">
        <is>
          <t>Yes</t>
        </is>
      </c>
      <c r="F39" s="17" t="inlineStr">
        <is>
          <t>Changed on main: src/app/api/equipment/route.ts, src/app/equipment/requests/[id]/page.tsx, src/lib/equipmentAvailability.ts, src/lib/validation/equipment.ts
Shared files changed: prisma/schema.prisma, src/lib/permissions.ts, src/lib/statuses.ts</t>
        </is>
      </c>
      <c r="G39" s="17" t="n">
        <v>4</v>
      </c>
      <c r="H39" s="17" t="inlineStr">
        <is>
          <t>Kristen</t>
        </is>
      </c>
    </row>
    <row r="40" ht="33" customHeight="1" s="21">
      <c r="A40" s="17" t="inlineStr">
        <is>
          <t>SPM-57</t>
        </is>
      </c>
      <c r="B40" s="17" t="inlineStr">
        <is>
          <t>Manually Add Attendee</t>
        </is>
      </c>
      <c r="C40" s="17" t="inlineStr">
        <is>
          <t>4</t>
        </is>
      </c>
      <c r="D40" s="17" t="inlineStr">
        <is>
          <t>Story merged 2026-10-30 (82ae4ce)</t>
        </is>
      </c>
      <c r="E40" s="17" t="inlineStr">
        <is>
          <t>Yes</t>
        </is>
      </c>
      <c r="F40" s="17" t="inlineStr">
        <is>
          <t>Changed by later Sprint 4 merges: src/app/api/events/[id]/registrations/route.ts
Shared files changed: prisma/seed.ts</t>
        </is>
      </c>
      <c r="G40" s="17" t="n">
        <v>4</v>
      </c>
      <c r="H40" s="17" t="inlineStr">
        <is>
          <t>Sammi</t>
        </is>
      </c>
    </row>
    <row r="41" ht="48" customHeight="1" s="21">
      <c r="A41" s="17" t="inlineStr">
        <is>
          <t>SPM-59</t>
        </is>
      </c>
      <c r="B41" s="17" t="inlineStr">
        <is>
          <t>Record Request Withdrawal</t>
        </is>
      </c>
      <c r="C41" s="17" t="inlineStr">
        <is>
          <t>4</t>
        </is>
      </c>
      <c r="D41" s="17" t="inlineStr">
        <is>
          <t>Story merged 2026-10-23 (2fab25c)</t>
        </is>
      </c>
      <c r="E41" s="17" t="inlineStr">
        <is>
          <t>Yes</t>
        </is>
      </c>
      <c r="F41" s="17" t="inlineStr">
        <is>
          <t>Changed by later Sprint 4 merges: src/app/api/events/[id]/equipment/[requestId]/route.ts, src/app/api/events/[id]/equipment/route.ts, src/app/events/page.tsx, src/lib/venueBookingRequest.ts
Shared files changed: prisma/seed.ts, src/lib/statuses.ts</t>
        </is>
      </c>
      <c r="G41" s="17" t="n">
        <v>2</v>
      </c>
      <c r="H41" s="17" t="inlineStr">
        <is>
          <t>Kayalvizhi</t>
        </is>
      </c>
    </row>
    <row r="42" ht="63" customHeight="1" s="21">
      <c r="A42" s="17" t="inlineStr">
        <is>
          <t>SPM-62</t>
        </is>
      </c>
      <c r="B42" s="17" t="inlineStr">
        <is>
          <t>Update Event Information</t>
        </is>
      </c>
      <c r="C42" s="17" t="inlineStr">
        <is>
          <t>3</t>
        </is>
      </c>
      <c r="D42" s="17" t="inlineStr">
        <is>
          <t>End of Sprint 3 (a635cd6)</t>
        </is>
      </c>
      <c r="E42" s="17" t="inlineStr">
        <is>
          <t>Yes</t>
        </is>
      </c>
      <c r="F42" s="17" t="inlineStr">
        <is>
          <t>Changed on main: src/app/api/events/[id]/equipment/[requestId]/route.ts, src/app/api/events/[id]/equipment/route.ts, src/app/api/events/[id]/information/route.ts, src/app/events/[id]/equipment/page.tsx, src/app/events/[id]/page.tsx, src/lib/applyEventInformation.ts and 2 more
Shared files changed: prisma/schema.prisma, src/lib/permissions.ts</t>
        </is>
      </c>
      <c r="G42" s="17" t="n">
        <v>4</v>
      </c>
      <c r="H42" s="17" t="inlineStr">
        <is>
          <t>Kayalvizhi</t>
        </is>
      </c>
    </row>
    <row r="43" ht="63" customHeight="1" s="21">
      <c r="A43" s="17" t="inlineStr">
        <is>
          <t>SPM-64</t>
        </is>
      </c>
      <c r="B43" s="17" t="inlineStr">
        <is>
          <t>Configure Event Registration</t>
        </is>
      </c>
      <c r="C43" s="17" t="inlineStr">
        <is>
          <t>3</t>
        </is>
      </c>
      <c r="D43" s="17" t="inlineStr">
        <is>
          <t>End of Sprint 3 (a635cd6)</t>
        </is>
      </c>
      <c r="E43" s="17" t="inlineStr">
        <is>
          <t>Yes</t>
        </is>
      </c>
      <c r="F43" s="17" t="inlineStr">
        <is>
          <t>Changed on main: src/app/api/events/[id]/registration/route.ts, src/app/api/events/[id]/route.ts, src/app/events/[id]/page.tsx, src/lib/eventConfirmation.ts, src/lib/validation/registrations.ts
Shared files changed: prisma/schema.prisma, src/lib/permissions.ts</t>
        </is>
      </c>
      <c r="G43" s="17" t="n">
        <v>7</v>
      </c>
      <c r="H43" s="17" t="inlineStr">
        <is>
          <t>Sammi</t>
        </is>
      </c>
    </row>
    <row r="44" ht="78" customHeight="1" s="21">
      <c r="A44" s="17" t="inlineStr">
        <is>
          <t>SPM-65</t>
        </is>
      </c>
      <c r="B44" s="17" t="inlineStr">
        <is>
          <t>View Registration List</t>
        </is>
      </c>
      <c r="C44" s="17" t="inlineStr">
        <is>
          <t>3</t>
        </is>
      </c>
      <c r="D44" s="17" t="inlineStr">
        <is>
          <t>End of Sprint 3 (a635cd6)</t>
        </is>
      </c>
      <c r="E44" s="17" t="inlineStr">
        <is>
          <t>Yes</t>
        </is>
      </c>
      <c r="F44" s="17" t="inlineStr">
        <is>
          <t>Changed on main: src/app/api/events/[id]/registrations/route.ts, src/app/events/[id]/RegisterPanel.tsx, src/app/events/[id]/attendees/page.tsx, src/lib/format.ts, src/lib/registrationEligibility.ts
Shared files changed: prisma/schema.prisma, src/lib/permissions.ts, src/lib/roles.ts, src/lib/statuses.ts</t>
        </is>
      </c>
      <c r="G44" s="17" t="n">
        <v>3</v>
      </c>
      <c r="H44" s="17" t="inlineStr">
        <is>
          <t>Sammi</t>
        </is>
      </c>
    </row>
    <row r="45" ht="63" customHeight="1" s="21">
      <c r="A45" s="17" t="inlineStr">
        <is>
          <t>SPM-66</t>
        </is>
      </c>
      <c r="B45" s="17" t="inlineStr">
        <is>
          <t>Join and Respond to Waiting List</t>
        </is>
      </c>
      <c r="C45" s="17" t="inlineStr">
        <is>
          <t>4</t>
        </is>
      </c>
      <c r="D45" s="17" t="inlineStr">
        <is>
          <t>Story merged 2026-10-29 (868db00)</t>
        </is>
      </c>
      <c r="E45" s="17" t="inlineStr">
        <is>
          <t>Yes</t>
        </is>
      </c>
      <c r="F45" s="17" t="inlineStr">
        <is>
          <t>Changed by later Sprint 4 merges: src/app/api/events/[id]/registrations/route.ts, src/app/api/events/[id]/route.ts, src/app/api/registrations/[id]/offer/route.ts, src/app/api/registrations/route.ts, src/app/events/[id]/attendees/page.tsx, src/lib/validation/registrations.ts
Shared files changed: prisma/schema.prisma, prisma/seed.ts</t>
        </is>
      </c>
      <c r="G45" s="17" t="n">
        <v>6</v>
      </c>
      <c r="H45" s="17" t="inlineStr">
        <is>
          <t>Jordan</t>
        </is>
      </c>
    </row>
    <row r="46" ht="63" customHeight="1" s="21">
      <c r="A46" s="17" t="inlineStr">
        <is>
          <t>SPM-67</t>
        </is>
      </c>
      <c r="B46" s="17" t="inlineStr">
        <is>
          <t>Withdraw or Release Venue Booking</t>
        </is>
      </c>
      <c r="C46" s="17" t="inlineStr">
        <is>
          <t>3</t>
        </is>
      </c>
      <c r="D46" s="17" t="inlineStr">
        <is>
          <t>End of Sprint 3 (a635cd6)</t>
        </is>
      </c>
      <c r="E46" s="17" t="inlineStr">
        <is>
          <t>Yes</t>
        </is>
      </c>
      <c r="F46" s="17" t="inlineStr">
        <is>
          <t>Changed on main: src/app/api/events/[id]/venue-bookings/[bookingId]/route.ts, src/app/api/events/[id]/venue-bookings/route.ts, src/app/api/venue-bookings/[id]/route.ts, src/lib/eventConfirmation.ts, src/lib/notifications.ts, src/lib/venueBookingChange.ts
Shared files changed: prisma/schema.prisma, prisma/seed.ts, src/lib/statuses.ts</t>
        </is>
      </c>
      <c r="G46" s="17" t="n">
        <v>4</v>
      </c>
      <c r="H46" s="17" t="inlineStr">
        <is>
          <t>Sammi</t>
        </is>
      </c>
    </row>
    <row r="47" ht="78" customHeight="1" s="21">
      <c r="A47" s="17" t="inlineStr">
        <is>
          <t>SPM-68</t>
        </is>
      </c>
      <c r="B47" s="17" t="inlineStr">
        <is>
          <t>Review Flagged Arrangements</t>
        </is>
      </c>
      <c r="C47" s="17" t="inlineStr">
        <is>
          <t>3</t>
        </is>
      </c>
      <c r="D47" s="17" t="inlineStr">
        <is>
          <t>End of Sprint 3 (a635cd6)</t>
        </is>
      </c>
      <c r="E47" s="17" t="inlineStr">
        <is>
          <t>Yes</t>
        </is>
      </c>
      <c r="F47" s="17" t="inlineStr">
        <is>
          <t>Changed on main: src/app/api/events/[id]/arrangements/route.ts, src/app/api/events/[id]/venue-bookings/[bookingId]/route.ts, src/app/api/flagged-arrangements/route.ts, src/app/events/[id]/booking/new/page.tsx, src/app/events/[id]/readiness/page.tsx, src/lib/equipmentAvailabilityService.ts and 2 more
Shared files changed: prisma/schema.prisma, prisma/seed.ts, src/lib/roles.ts</t>
        </is>
      </c>
      <c r="G47" s="17" t="n">
        <v>5</v>
      </c>
      <c r="H47" s="17" t="inlineStr">
        <is>
          <t>Sammi</t>
        </is>
      </c>
    </row>
    <row r="48" ht="78" customHeight="1" s="21">
      <c r="A48" s="17" t="inlineStr">
        <is>
          <t>SPM-69</t>
        </is>
      </c>
      <c r="B48" s="17" t="inlineStr">
        <is>
          <t>Release or Adjust Equipment Reservation</t>
        </is>
      </c>
      <c r="C48" s="17" t="inlineStr">
        <is>
          <t>4</t>
        </is>
      </c>
      <c r="D48" s="17" t="inlineStr">
        <is>
          <t>Story merged 2026-10-27 (b93cbe3)</t>
        </is>
      </c>
      <c r="E48" s="17" t="inlineStr">
        <is>
          <t>Yes</t>
        </is>
      </c>
      <c r="F48" s="17" t="inlineStr">
        <is>
          <t>Changed by later Sprint 4 merges: src/app/api/events/[id]/equipment/[requestId]/route.ts, src/app/equipment/requests/[id]/page.tsx, src/app/events/[id]/equipment/page.tsx, src/lib/equipmentAvailability.ts, src/lib/equipmentAvailabilityService.ts, src/lib/equipmentFulfilment.ts and 2 more
Shared files changed: prisma/seed.ts</t>
        </is>
      </c>
      <c r="G48" s="17" t="n">
        <v>4</v>
      </c>
      <c r="H48" s="17" t="inlineStr">
        <is>
          <t>Kayalvizhi</t>
        </is>
      </c>
    </row>
    <row r="49" ht="48" customHeight="1" s="21">
      <c r="A49" s="17" t="inlineStr">
        <is>
          <t>SPM-71</t>
        </is>
      </c>
      <c r="B49" s="17" t="inlineStr">
        <is>
          <t>View Notifications</t>
        </is>
      </c>
      <c r="C49" s="17" t="inlineStr">
        <is>
          <t>3</t>
        </is>
      </c>
      <c r="D49" s="17" t="inlineStr">
        <is>
          <t>End of Sprint 3 (a635cd6)</t>
        </is>
      </c>
      <c r="E49" s="17" t="inlineStr">
        <is>
          <t>Yes</t>
        </is>
      </c>
      <c r="F49" s="17" t="inlineStr">
        <is>
          <t>Changed on main: src/app/api/notifications/unread-count/route.ts, src/app/events/[id]/equipment/page.tsx, src/app/events/[id]/page.tsx, src/lib/notificationView.ts, src/lib/notifications.ts
Shared files changed: prisma/seed.ts, src/lib/permissions.ts</t>
        </is>
      </c>
      <c r="G49" s="17" t="n">
        <v>3</v>
      </c>
      <c r="H49" s="17" t="inlineStr">
        <is>
          <t>Janelle</t>
        </is>
      </c>
    </row>
    <row r="50" ht="48" customHeight="1" s="21">
      <c r="A50" s="17" t="inlineStr">
        <is>
          <t>SPM-77</t>
        </is>
      </c>
      <c r="B50" s="17" t="inlineStr">
        <is>
          <t>Suggest Alternative Equipment</t>
        </is>
      </c>
      <c r="C50" s="17" t="inlineStr">
        <is>
          <t>4</t>
        </is>
      </c>
      <c r="D50" s="17" t="inlineStr">
        <is>
          <t>Story merged 2026-10-29 (1cf7746)</t>
        </is>
      </c>
      <c r="E50" s="17" t="inlineStr">
        <is>
          <t>Yes</t>
        </is>
      </c>
      <c r="F50" s="17" t="inlineStr">
        <is>
          <t>Changed by later Sprint 4 merges: src/app/api/events/[id]/equipment/[requestId]/suggestion/route.ts, src/app/api/events/[id]/equipment/route.ts
Shared files changed: prisma/seed.ts, src/lib/permissions.ts</t>
        </is>
      </c>
      <c r="G50" s="17" t="n">
        <v>4</v>
      </c>
      <c r="H50" s="17" t="inlineStr">
        <is>
          <t>Janelle</t>
        </is>
      </c>
    </row>
    <row r="51" ht="33" customHeight="1" s="21">
      <c r="A51" s="17" t="inlineStr">
        <is>
          <t>SPM-80</t>
        </is>
      </c>
      <c r="B51" s="17" t="inlineStr">
        <is>
          <t>Re-check Bookings When Setup or Turnaround Time Changes</t>
        </is>
      </c>
      <c r="C51" s="17" t="inlineStr">
        <is>
          <t>4</t>
        </is>
      </c>
      <c r="D51" s="17" t="inlineStr">
        <is>
          <t>Story merged 2026-10-22 (665401a)</t>
        </is>
      </c>
      <c r="E51" s="17" t="inlineStr">
        <is>
          <t>No</t>
        </is>
      </c>
      <c r="F51" s="17" t="inlineStr">
        <is>
          <t>Only prisma/seed.ts changed after its own test pass (new fixture data for later stories). Its end-to-end test runs in CI.</t>
        </is>
      </c>
      <c r="G51" s="17" t="n">
        <v>0</v>
      </c>
      <c r="H51" s="17" t="n"/>
    </row>
    <row r="52" ht="63" customHeight="1" s="21">
      <c r="A52" s="17" t="inlineStr">
        <is>
          <t>SPM-81</t>
        </is>
      </c>
      <c r="B52" s="17" t="inlineStr">
        <is>
          <t>Request More Than One Venue for an Event</t>
        </is>
      </c>
      <c r="C52" s="17" t="inlineStr">
        <is>
          <t>3</t>
        </is>
      </c>
      <c r="D52" s="17" t="inlineStr">
        <is>
          <t>End of Sprint 3 (a635cd6)</t>
        </is>
      </c>
      <c r="E52" s="17" t="inlineStr">
        <is>
          <t>Yes</t>
        </is>
      </c>
      <c r="F52" s="17" t="inlineStr">
        <is>
          <t>Changed on main: src/app/api/events/[id]/route.ts, src/app/api/events/[id]/venue-bookings/route.ts, src/app/api/venue-bookings/[id]/route.ts, src/app/events/[id]/booking/new/page.tsx, src/app/events/[id]/page.tsx, src/lib/equipmentAvailabilityService.ts and 2 more
Shared files changed: prisma/seed.ts</t>
        </is>
      </c>
      <c r="G52" s="17" t="n">
        <v>4</v>
      </c>
      <c r="H52" s="17" t="inlineStr">
        <is>
          <t>Sammi</t>
        </is>
      </c>
    </row>
    <row r="53" ht="78" customHeight="1" s="21">
      <c r="A53" s="17" t="inlineStr">
        <is>
          <t>SPM-82</t>
        </is>
      </c>
      <c r="B53" s="17" t="inlineStr">
        <is>
          <t>Expire Tentative Venue Hold</t>
        </is>
      </c>
      <c r="C53" s="17" t="inlineStr">
        <is>
          <t>3</t>
        </is>
      </c>
      <c r="D53" s="17" t="inlineStr">
        <is>
          <t>End of Sprint 3 (a635cd6)</t>
        </is>
      </c>
      <c r="E53" s="17" t="inlineStr">
        <is>
          <t>Yes</t>
        </is>
      </c>
      <c r="F53" s="17" t="inlineStr">
        <is>
          <t>Changed on main: src/app/api/events/[id]/arrangements/route.ts, src/app/api/events/[id]/route.ts, src/app/api/events/[id]/safety-check/route.ts, src/app/api/events/[id]/venue-bookings/route.ts, src/app/api/notifications/unread-count/route.ts, src/app/api/venue-bookings/[id]/route.ts and 5 more
Shared files changed: prisma/schema.prisma, prisma/seed.ts, src/lib/statuses.ts</t>
        </is>
      </c>
      <c r="G53" s="17" t="n">
        <v>7</v>
      </c>
      <c r="H53" s="17" t="inlineStr">
        <is>
          <t>Sammi</t>
        </is>
      </c>
    </row>
    <row r="54" ht="48" customHeight="1" s="21">
      <c r="A54" s="17" t="inlineStr">
        <is>
          <t>SPM-84</t>
        </is>
      </c>
      <c r="B54" s="17" t="inlineStr">
        <is>
          <t>Event Coordinator Lead: Rename Role and View Assignments</t>
        </is>
      </c>
      <c r="C54" s="17" t="inlineStr">
        <is>
          <t>4</t>
        </is>
      </c>
      <c r="D54" s="17" t="inlineStr">
        <is>
          <t>Story merged 2026-10-21 (fdca9f2)</t>
        </is>
      </c>
      <c r="E54" s="17" t="inlineStr">
        <is>
          <t>Yes</t>
        </is>
      </c>
      <c r="F54" s="17" t="inlineStr">
        <is>
          <t>Changed by later Sprint 4 merges: src/app/api/assignments/route.ts, src/app/api/events/[id]/coordinator/route.ts
Shared files changed: prisma/seed.ts, src/lib/roles.ts</t>
        </is>
      </c>
      <c r="G54" s="17" t="n">
        <v>4</v>
      </c>
      <c r="H54" s="17" t="inlineStr">
        <is>
          <t>Kayalvizhi</t>
        </is>
      </c>
    </row>
    <row r="55" ht="48" customHeight="1" s="21">
      <c r="A55" s="17" t="inlineStr">
        <is>
          <t>SPM-85</t>
        </is>
      </c>
      <c r="B55" s="17" t="inlineStr">
        <is>
          <t>Safety Officer Role and Access</t>
        </is>
      </c>
      <c r="C55" s="17" t="inlineStr">
        <is>
          <t>3</t>
        </is>
      </c>
      <c r="D55" s="17" t="inlineStr">
        <is>
          <t>End of Sprint 3 (a635cd6)</t>
        </is>
      </c>
      <c r="E55" s="17" t="inlineStr">
        <is>
          <t>Yes</t>
        </is>
      </c>
      <c r="F55" s="17" t="inlineStr">
        <is>
          <t>Changed on main: src/app/api/events/[id]/route.ts, src/app/api/events/[id]/safety-check/route.ts, src/app/events/[id]/equipment/page.tsx, src/app/events/[id]/page.tsx
Shared files changed: prisma/seed.ts, src/lib/permissions.ts, src/lib/roles.ts</t>
        </is>
      </c>
      <c r="G55" s="17" t="n">
        <v>3</v>
      </c>
      <c r="H55" s="17" t="inlineStr">
        <is>
          <t>Kayalvizhi</t>
        </is>
      </c>
    </row>
    <row r="56" ht="63" customHeight="1" s="21">
      <c r="A56" s="17" t="inlineStr">
        <is>
          <t>SPM-86</t>
        </is>
      </c>
      <c r="B56" s="17" t="inlineStr">
        <is>
          <t>Submit Event for Operational Safety Check</t>
        </is>
      </c>
      <c r="C56" s="17" t="inlineStr">
        <is>
          <t>3</t>
        </is>
      </c>
      <c r="D56" s="17" t="inlineStr">
        <is>
          <t>End of Sprint 3 (a635cd6)</t>
        </is>
      </c>
      <c r="E56" s="17" t="inlineStr">
        <is>
          <t>Yes</t>
        </is>
      </c>
      <c r="F56" s="17" t="inlineStr">
        <is>
          <t>Changed on main: src/app/api/events/[id]/route.ts, src/app/api/events/[id]/safety-check/route.ts, src/app/events/[id]/page.tsx, src/app/events/page.tsx, src/lib/equipmentAvailability.ts, src/lib/eventConfirmation.ts and 1 more
Shared files changed: prisma/schema.prisma, src/lib/permissions.ts, src/lib/statuses.ts</t>
        </is>
      </c>
      <c r="G56" s="17" t="n">
        <v>3</v>
      </c>
      <c r="H56" s="17" t="inlineStr">
        <is>
          <t>Kristen</t>
        </is>
      </c>
    </row>
    <row r="57" ht="48" customHeight="1" s="21">
      <c r="A57" s="17" t="inlineStr">
        <is>
          <t>SPM-87</t>
        </is>
      </c>
      <c r="B57" s="17" t="inlineStr">
        <is>
          <t>Conduct Operational Safety Check</t>
        </is>
      </c>
      <c r="C57" s="17" t="inlineStr">
        <is>
          <t>3</t>
        </is>
      </c>
      <c r="D57" s="17" t="inlineStr">
        <is>
          <t>End of Sprint 3 (a635cd6)</t>
        </is>
      </c>
      <c r="E57" s="17" t="inlineStr">
        <is>
          <t>Yes</t>
        </is>
      </c>
      <c r="F57" s="17" t="inlineStr">
        <is>
          <t>Changed on main: src/app/api/events/[id]/route.ts, src/app/api/events/[id]/safety-decision/route.ts, src/app/events/[id]/page.tsx
Shared files changed: src/lib/permissions.ts, src/lib/statuses.ts</t>
        </is>
      </c>
      <c r="G57" s="17" t="n">
        <v>6</v>
      </c>
      <c r="H57" s="17" t="inlineStr">
        <is>
          <t>Kristen</t>
        </is>
      </c>
    </row>
    <row r="58" ht="78" customHeight="1" s="21">
      <c r="A58" s="17" t="inlineStr">
        <is>
          <t>SPM-88</t>
        </is>
      </c>
      <c r="B58" s="17" t="inlineStr">
        <is>
          <t>Resolve Safety Check Outcome</t>
        </is>
      </c>
      <c r="C58" s="17" t="inlineStr">
        <is>
          <t>3</t>
        </is>
      </c>
      <c r="D58" s="17" t="inlineStr">
        <is>
          <t>End of Sprint 3 (a635cd6)</t>
        </is>
      </c>
      <c r="E58" s="17" t="inlineStr">
        <is>
          <t>Yes</t>
        </is>
      </c>
      <c r="F58" s="17" t="inlineStr">
        <is>
          <t>Changed on main: src/app/api/events/[id]/equipment/[requestId]/route.ts, src/app/api/events/[id]/equipment/route.ts, src/app/api/events/[id]/information/route.ts, src/app/api/events/[id]/route.ts, src/app/api/events/[id]/safety-flags/route.ts, src/app/api/events/[id]/venue-bookings/[bookingId]/route.ts and 7 more
Shared files changed: src/lib/permissions.ts</t>
        </is>
      </c>
      <c r="G58" s="17" t="n">
        <v>6</v>
      </c>
      <c r="H58" s="17" t="inlineStr">
        <is>
          <t>Kristen</t>
        </is>
      </c>
    </row>
    <row r="59" ht="63" customHeight="1" s="21">
      <c r="A59" s="17" t="inlineStr">
        <is>
          <t>SPM-90</t>
        </is>
      </c>
      <c r="B59" s="17" t="inlineStr">
        <is>
          <t>Check Each Venue Against Its Own Requirements</t>
        </is>
      </c>
      <c r="C59" s="17" t="inlineStr">
        <is>
          <t>3</t>
        </is>
      </c>
      <c r="D59" s="17" t="inlineStr">
        <is>
          <t>End of Sprint 3 (a635cd6)</t>
        </is>
      </c>
      <c r="E59" s="17" t="inlineStr">
        <is>
          <t>Yes</t>
        </is>
      </c>
      <c r="F59" s="17" t="inlineStr">
        <is>
          <t>Changed on main: src/app/api/events/[id]/route.ts, src/app/api/events/[id]/venue-bookings/route.ts, src/app/api/events/[id]/venue-suitability/route.ts, src/app/api/venues/[id]/route.ts, src/app/events/[id]/booking/new/page.tsx, src/app/events/[id]/page.tsx and 4 more
Shared files changed: prisma/schema.prisma, prisma/seed.ts</t>
        </is>
      </c>
      <c r="G59" s="17" t="n">
        <v>4</v>
      </c>
      <c r="H59" s="17" t="inlineStr">
        <is>
          <t>Janelle</t>
        </is>
      </c>
    </row>
    <row r="60" ht="63" customHeight="1" s="21">
      <c r="A60" s="17" t="inlineStr">
        <is>
          <t>SPM-93</t>
        </is>
      </c>
      <c r="B60" s="17" t="inlineStr">
        <is>
          <t>Book Venues in 15-Minute Units</t>
        </is>
      </c>
      <c r="C60" s="17" t="inlineStr">
        <is>
          <t>3</t>
        </is>
      </c>
      <c r="D60" s="17" t="inlineStr">
        <is>
          <t>End of Sprint 3 (a635cd6)</t>
        </is>
      </c>
      <c r="E60" s="17" t="inlineStr">
        <is>
          <t>Yes</t>
        </is>
      </c>
      <c r="F60" s="17" t="inlineStr">
        <is>
          <t>Changed on main: src/app/api/events/[id]/venue-bookings/route.ts, src/app/events/[id]/booking/new/page.tsx, src/components/VenueForm.tsx, src/lib/venueBookingRequest.ts, src/lib/venueBookingReview.ts
Shared files changed: prisma/seed.ts</t>
        </is>
      </c>
      <c r="G60" s="17" t="n">
        <v>4</v>
      </c>
      <c r="H60" s="17" t="inlineStr">
        <is>
          <t>Janelle</t>
        </is>
      </c>
    </row>
    <row r="61" ht="78" customHeight="1" s="21">
      <c r="A61" s="17" t="inlineStr">
        <is>
          <t>SPM-94</t>
        </is>
      </c>
      <c r="B61" s="17" t="inlineStr">
        <is>
          <t>Limit Who Sees a Request's Review Outcome</t>
        </is>
      </c>
      <c r="C61" s="17" t="inlineStr">
        <is>
          <t>4</t>
        </is>
      </c>
      <c r="D61" s="17" t="inlineStr">
        <is>
          <t>Story merged 2026-10-26 (95e8f56)</t>
        </is>
      </c>
      <c r="E61" s="17" t="inlineStr">
        <is>
          <t>Yes</t>
        </is>
      </c>
      <c r="F61" s="17" t="inlineStr">
        <is>
          <t>Changed by later Sprint 4 merges: src/app/api/events/[id]/cancellation/route.ts, src/app/api/events/[id]/change-requests/route.ts, src/app/api/events/[id]/clarifications/route.ts, src/app/api/events/[id]/coordinator/route.ts, src/app/api/events/[id]/equipment/[requestId]/fulfilment/route.ts, src/app/api/events/[id]/equipment/[requestId]/reserve/route.ts and 9 more
Shared files changed: prisma/seed.ts, src/lib/permissions.ts</t>
        </is>
      </c>
      <c r="G61" s="17" t="n">
        <v>1</v>
      </c>
      <c r="H61" s="17" t="inlineStr">
        <is>
          <t>Jordan</t>
        </is>
      </c>
    </row>
    <row r="63">
      <c r="A63" s="0" t="inlineStr">
        <is>
          <t>Every story with test cases except SPM-53 and SPM-80 is in scope: Sprint 4's lifecycle, change request and notification work runs through the event page and routes that almost every earlier story uses. A file changed only by SPM-98 (breadcrumbs) does not count on its own, and shared files alone did not bring a story in. Bugs SPM-98, SPM-100 and SPM-111 have no test case workbooks; their automated tests run in CI.</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2026-10-17T09:10:34Z</dcterms:created>
  <dcterms:modified xsi:type="dcterms:W3CDTF">2026-10-30T10:08:42Z</dcterms:modified>
</cp:coreProperties>
</file>